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lan" sheetId="2" state="visible" r:id="rId4"/>
    <sheet name="Carga" sheetId="3" state="visible" r:id="rId5"/>
    <sheet name="Calendario" sheetId="4" state="visible" r:id="rId6"/>
    <sheet name="Hitos y recor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<sst xmlns="http://schemas.openxmlformats.org/spreadsheetml/2006/main" count="334" uniqueCount="182">
  <si>
    <t xml:space="preserve">Plan de implementación — cafe-gestion (borrador)</t>
  </si>
  <si>
    <t xml:space="preserve">Parámetro</t>
  </si>
  <si>
    <t xml:space="preserve">Valor</t>
  </si>
  <si>
    <t xml:space="preserve">Nota</t>
  </si>
  <si>
    <t xml:space="preserve">Fecha de D1</t>
  </si>
  <si>
    <t xml:space="preserve">Hoy (mié 28/10/2026). Editable: todo el calendario se recalcula.</t>
  </si>
  <si>
    <t xml:space="preserve">Horas netas por día de trabajo</t>
  </si>
  <si>
    <t xml:space="preserve">Supuesto del plan: 1 día ≈ 4 h por persona, con asistente de IA y revisión de PR incluida.</t>
  </si>
  <si>
    <t xml:space="preserve">Personas</t>
  </si>
  <si>
    <t xml:space="preserve">A = Django/FastAPI · B = Node/Mongo/Socket.IO.</t>
  </si>
  <si>
    <t xml:space="preserve">Modalidad de implementación (TP4)</t>
  </si>
  <si>
    <t xml:space="preserve">PC local + docker compose</t>
  </si>
  <si>
    <t xml:space="preserve">Si se elige cloud, sumar 1.5–2 días.</t>
  </si>
  <si>
    <t xml:space="preserve">Alcance</t>
  </si>
  <si>
    <t xml:space="preserve">Solo historias Must</t>
  </si>
  <si>
    <t xml:space="preserve">Should y Could (HU9–HU14) fuera del plan.</t>
  </si>
  <si>
    <t xml:space="preserve">Leyenda: celdas con fondo amarillo y texto azul = datos editables. Sábados cuentan como día de trabajo; domingos libres.</t>
  </si>
  <si>
    <t xml:space="preserve">Los desvíos reales se registran en Plan (columnas Estado, Inicio real, Fin real) para la sección 3 del informe.</t>
  </si>
  <si>
    <t xml:space="preserve">Plan por tareas — duración en días de trabajo (1 día ≈ 4 h netas)</t>
  </si>
  <si>
    <t xml:space="preserve">Fase</t>
  </si>
  <si>
    <t xml:space="preserve">ID</t>
  </si>
  <si>
    <t xml:space="preserve">Tarea</t>
  </si>
  <si>
    <t xml:space="preserve">Detalle</t>
  </si>
  <si>
    <t xml:space="preserve">Días A</t>
  </si>
  <si>
    <t xml:space="preserve">Días B</t>
  </si>
  <si>
    <t xml:space="preserve">Resp.</t>
  </si>
  <si>
    <t xml:space="preserve">Ini (D)</t>
  </si>
  <si>
    <t xml:space="preserve">Fin (D)</t>
  </si>
  <si>
    <t xml:space="preserve">Fecha inicio</t>
  </si>
  <si>
    <t xml:space="preserve">Fecha fin</t>
  </si>
  <si>
    <t xml:space="preserve">Estado</t>
  </si>
  <si>
    <t xml:space="preserve">Inicio real</t>
  </si>
  <si>
    <t xml:space="preserve">Fin real</t>
  </si>
  <si>
    <t xml:space="preserve">F0 Cierre TP0</t>
  </si>
  <si>
    <t xml:space="preserve">T0.4v</t>
  </si>
  <si>
    <t xml:space="preserve">Verificar/mergear T0.4 y .env no versionado</t>
  </si>
  <si>
    <t xml:space="preserve">Clon limpio por el otro integrante</t>
  </si>
  <si>
    <t xml:space="preserve">A+B</t>
  </si>
  <si>
    <t xml:space="preserve">Pendiente</t>
  </si>
  <si>
    <t xml:space="preserve">T0.5</t>
  </si>
  <si>
    <t xml:space="preserve">git-flow, plantilla PR, tablero, protección de main</t>
  </si>
  <si>
    <t xml:space="preserve">A</t>
  </si>
  <si>
    <t xml:space="preserve">T0.6</t>
  </si>
  <si>
    <t xml:space="preserve">excel-analisis.md + seed anonimizado</t>
  </si>
  <si>
    <t xml:space="preserve">B</t>
  </si>
  <si>
    <t xml:space="preserve">T0.7</t>
  </si>
  <si>
    <t xml:space="preserve">Ajustes de docs pendientes</t>
  </si>
  <si>
    <t xml:space="preserve">HU15, post-commit/outbox, IVA 27 %, atomicidad stock/caja, QR = URL</t>
  </si>
  <si>
    <t xml:space="preserve">T1.0</t>
  </si>
  <si>
    <t xml:space="preserve">docs/api-errores.md (formato único de error)</t>
  </si>
  <si>
    <t xml:space="preserve">Exigido por AGENTS.md, aún no existe</t>
  </si>
  <si>
    <t xml:space="preserve">F1 TP1</t>
  </si>
  <si>
    <t xml:space="preserve">T1.9</t>
  </si>
  <si>
    <t xml:space="preserve">Mongo: historial_precios y snapshots_costeo</t>
  </si>
  <si>
    <t xml:space="preserve">Esquemas, índices, capas</t>
  </si>
  <si>
    <t xml:space="preserve">T1.1</t>
  </si>
  <si>
    <t xml:space="preserve">Modelos Proveedor, Insumo, Compra + migraciones</t>
  </si>
  <si>
    <t xml:space="preserve">T1.10</t>
  </si>
  <si>
    <t xml:space="preserve">Node: errores, logging, paginación, búsqueda</t>
  </si>
  <si>
    <t xml:space="preserve">T1.2</t>
  </si>
  <si>
    <t xml:space="preserve">Conversión de unidades y costo unitario con prorrateo de envío</t>
  </si>
  <si>
    <t xml:space="preserve">Tests con casos del Excel</t>
  </si>
  <si>
    <t xml:space="preserve">T4.3a</t>
  </si>
  <si>
    <t xml:space="preserve">CI base (adelantada)</t>
  </si>
  <si>
    <t xml:space="preserve">Instalación, lint y tests</t>
  </si>
  <si>
    <t xml:space="preserve">T1.3</t>
  </si>
  <si>
    <t xml:space="preserve">Producto, RecetaItem y servicio de costeo</t>
  </si>
  <si>
    <t xml:space="preserve">T1.6b</t>
  </si>
  <si>
    <t xml:space="preserve">TurnoCaja y MovimientoCaja con endpoints</t>
  </si>
  <si>
    <t xml:space="preserve">T1.8</t>
  </si>
  <si>
    <t xml:space="preserve">Recalcular recetas al guardar una compra</t>
  </si>
  <si>
    <t xml:space="preserve">T1.7</t>
  </si>
  <si>
    <t xml:space="preserve">Comando seed_demo</t>
  </si>
  <si>
    <t xml:space="preserve">T1.4</t>
  </si>
  <si>
    <t xml:space="preserve">ViewSets, paginación, 3 filtros, validaciones</t>
  </si>
  <si>
    <t xml:space="preserve">T1.11</t>
  </si>
  <si>
    <t xml:space="preserve">Node consume Django (timeout, degradado) + integracion.md</t>
  </si>
  <si>
    <t xml:space="preserve">T3.0</t>
  </si>
  <si>
    <t xml:space="preserve">Probar Ollama/Gemini en la PC del equipo</t>
  </si>
  <si>
    <t xml:space="preserve">Spike de riesgo</t>
  </si>
  <si>
    <t xml:space="preserve">T1.5</t>
  </si>
  <si>
    <t xml:space="preserve">Exception handler propio</t>
  </si>
  <si>
    <t xml:space="preserve">T1.6a</t>
  </si>
  <si>
    <t xml:space="preserve">Venta y VentaItem con snapshot de costo</t>
  </si>
  <si>
    <t xml:space="preserve">T1.12</t>
  </si>
  <si>
    <t xml:space="preserve">Colección de peticiones + 4 tests por servicio</t>
  </si>
  <si>
    <t xml:space="preserve">T1.13</t>
  </si>
  <si>
    <t xml:space="preserve">Verificación en clon limpio</t>
  </si>
  <si>
    <t xml:space="preserve">F2 TP2</t>
  </si>
  <si>
    <t xml:space="preserve">T2.1</t>
  </si>
  <si>
    <t xml:space="preserve">seguridad.md (matriz de roles) + ADR JWT RS256</t>
  </si>
  <si>
    <t xml:space="preserve">Antes de codificar</t>
  </si>
  <si>
    <t xml:space="preserve">T2.2</t>
  </si>
  <si>
    <t xml:space="preserve">SimpleJWT: login, refresh, blacklist</t>
  </si>
  <si>
    <t xml:space="preserve">T2.4</t>
  </si>
  <si>
    <t xml:space="preserve">Node valida JWT y autoriza por rol</t>
  </si>
  <si>
    <t xml:space="preserve">T2.3</t>
  </si>
  <si>
    <t xml:space="preserve">Roles plantilla, permisos, CRUD personal, permisos por objeto</t>
  </si>
  <si>
    <t xml:space="preserve">T2.5b</t>
  </si>
  <si>
    <t xml:space="preserve">Node: CORS, rate limit, helmet, validación, sanitización NoSQL</t>
  </si>
  <si>
    <t xml:space="preserve">T2.5a</t>
  </si>
  <si>
    <t xml:space="preserve">Django: CORS y throttling</t>
  </si>
  <si>
    <t xml:space="preserve">T2.6</t>
  </si>
  <si>
    <t xml:space="preserve">Un test negativo por permiso</t>
  </si>
  <si>
    <t xml:space="preserve">A: Django 1.0 · B: Node 0.5</t>
  </si>
  <si>
    <t xml:space="preserve">T2.7</t>
  </si>
  <si>
    <t xml:space="preserve">Revisión de secretos e informe de auditoría</t>
  </si>
  <si>
    <t xml:space="preserve">T2.8</t>
  </si>
  <si>
    <t xml:space="preserve">Auditoría cruzada en clase</t>
  </si>
  <si>
    <t xml:space="preserve">F3 TP3</t>
  </si>
  <si>
    <t xml:space="preserve">T3.1</t>
  </si>
  <si>
    <t xml:space="preserve">ai-service: 2 endpoints, prompts v1, Pydantic, contingencia, adapter</t>
  </si>
  <si>
    <t xml:space="preserve">T3.5</t>
  </si>
  <si>
    <t xml:space="preserve">Socket.IO: handshake JWT, salas, eventos, presencia, reconexión</t>
  </si>
  <si>
    <t xml:space="preserve">T3.3a</t>
  </si>
  <si>
    <t xml:space="preserve">Django: crear compra al aprobar y avisar a Node</t>
  </si>
  <si>
    <t xml:space="preserve">T3.2</t>
  </si>
  <si>
    <t xml:space="preserve">Node consume la IA (202 asíncrono) y guarda en Mongo</t>
  </si>
  <si>
    <t xml:space="preserve">T3.4</t>
  </si>
  <si>
    <t xml:space="preserve">3 consultas problemáticas, índices, EXPLAIN antes/después</t>
  </si>
  <si>
    <t xml:space="preserve">Incluye seed de 50k ventas</t>
  </si>
  <si>
    <t xml:space="preserve">T3.3b</t>
  </si>
  <si>
    <t xml:space="preserve">Node: flujo de aprobación completo</t>
  </si>
  <si>
    <t xml:space="preserve">T3.6</t>
  </si>
  <si>
    <t xml:space="preserve">Cliente mínimo web (B) + diagrama de secuencia (A)</t>
  </si>
  <si>
    <t xml:space="preserve">T3.7</t>
  </si>
  <si>
    <t xml:space="preserve">Ensayo de fallos</t>
  </si>
  <si>
    <t xml:space="preserve">Apagar cada componente y documentar</t>
  </si>
  <si>
    <t xml:space="preserve">F4 TP4</t>
  </si>
  <si>
    <t xml:space="preserve">T4.1</t>
  </si>
  <si>
    <t xml:space="preserve">Dockerfiles multietapa, sin root</t>
  </si>
  <si>
    <t xml:space="preserve">A: Django y ai · B: Node</t>
  </si>
  <si>
    <t xml:space="preserve">T4.2</t>
  </si>
  <si>
    <t xml:space="preserve">docker-compose con healthchecks y volúmenes</t>
  </si>
  <si>
    <t xml:space="preserve">T4.3b</t>
  </si>
  <si>
    <t xml:space="preserve">CI completa, build de imágenes, badge, test roto</t>
  </si>
  <si>
    <t xml:space="preserve">T4.4</t>
  </si>
  <si>
    <t xml:space="preserve">Implementación en PC local (docker compose), verificada por un tercero</t>
  </si>
  <si>
    <t xml:space="preserve">T4.5</t>
  </si>
  <si>
    <t xml:space="preserve">OpenAPI: drf-spectacular (A) y Swagger Express (B)</t>
  </si>
  <si>
    <t xml:space="preserve">T4.7</t>
  </si>
  <si>
    <t xml:space="preserve">Tags de Git y rollback probado</t>
  </si>
  <si>
    <t xml:space="preserve">T4.6</t>
  </si>
  <si>
    <t xml:space="preserve">GraphQL: 3 queries + 1 mutation + justificación</t>
  </si>
  <si>
    <t xml:space="preserve">F5 TFI</t>
  </si>
  <si>
    <t xml:space="preserve">T5.3a</t>
  </si>
  <si>
    <t xml:space="preserve">Borrador informe, secciones 2 y 3</t>
  </si>
  <si>
    <t xml:space="preserve">T5.1</t>
  </si>
  <si>
    <t xml:space="preserve">Verificar Must y usuario demo por rol</t>
  </si>
  <si>
    <t xml:space="preserve">T5.2</t>
  </si>
  <si>
    <t xml:space="preserve">Cobertura ≥ 60 %, test E2E y lint</t>
  </si>
  <si>
    <t xml:space="preserve">T5.3</t>
  </si>
  <si>
    <t xml:space="preserve">Informe PDF completo y manual breve</t>
  </si>
  <si>
    <t xml:space="preserve">T5.4</t>
  </si>
  <si>
    <t xml:space="preserve">Retrospectiva, 8 diapositivas y ensayo</t>
  </si>
  <si>
    <t xml:space="preserve">Total días</t>
  </si>
  <si>
    <t xml:space="preserve">Ini/Fin (D) = número de día del calendario (azul = editable). Fechas, Gantt y carga se recalculan solos. Días A / B = días de trabajo de cada persona; T2.6 y T3.6 tienen días distintos por persona.</t>
  </si>
  <si>
    <t xml:space="preserve">Carga por fase y persona (días de trabajo)</t>
  </si>
  <si>
    <t xml:space="preserve">Total planificado</t>
  </si>
  <si>
    <t xml:space="preserve">Capacidad (días laborables)</t>
  </si>
  <si>
    <t xml:space="preserve">Colchón (días)</t>
  </si>
  <si>
    <t xml:space="preserve">Ocupación</t>
  </si>
  <si>
    <t xml:space="preserve">Además del colchón hay 4 domingos libres. Los huecos concretos: B en D8–D9, A en D22 y D25.</t>
  </si>
  <si>
    <t xml:space="preserve">Día</t>
  </si>
  <si>
    <t xml:space="preserve">Fecha</t>
  </si>
  <si>
    <t xml:space="preserve">Día semana</t>
  </si>
  <si>
    <t xml:space="preserve">Laborable</t>
  </si>
  <si>
    <t xml:space="preserve">Hitos de control</t>
  </si>
  <si>
    <t xml:space="preserve">Hito</t>
  </si>
  <si>
    <t xml:space="preserve">Si falla, recortar (en este orden)</t>
  </si>
  <si>
    <t xml:space="preserve">TP0 cerrado</t>
  </si>
  <si>
    <t xml:space="preserve">—</t>
  </si>
  <si>
    <t xml:space="preserve">TP1 listo (demo en vivo)</t>
  </si>
  <si>
    <t xml:space="preserve">Dejar HU15 (anulación) solo documentada</t>
  </si>
  <si>
    <t xml:space="preserve">TP2 listo + auditoría cruzada</t>
  </si>
  <si>
    <t xml:space="preserve">Permisos individuales editables solo por Admin/API, sin pantalla (−0.5 d)</t>
  </si>
  <si>
    <t xml:space="preserve">TP3 flujo integrado</t>
  </si>
  <si>
    <t xml:space="preserve">Reducir eventos Socket.IO a 2: venta.registrada e importacion.lista (−0.5 d)</t>
  </si>
  <si>
    <t xml:space="preserve">TP4 listo + congelamiento funcional</t>
  </si>
  <si>
    <t xml:space="preserve">Cobertura concentrada en costeo y caja</t>
  </si>
  <si>
    <t xml:space="preserve">TFI: informe PDF + presentación</t>
  </si>
  <si>
    <t xml:space="preserve">No recortables (la guía los exige para aprobar): GraphQL (3 queries + 1 mutation), las 3 consultas optimizadas y el flujo de IA completo.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</si>
</sst>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;\-0.0;\-"/>
    <numFmt numFmtId="167" formatCode="dd/mm"/>
    <numFmt numFmtId="168" formatCode=";;;"/>
    <numFmt numFmtId="169" formatCode="0.0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2F75B5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46323</v>
      </c>
      <c r="C4" s="3" t="s">
        <v>5</v>
      </c>
    </row>
    <row r="5" customFormat="false" ht="15" hidden="false" customHeight="false" outlineLevel="0" collapsed="false">
      <c r="A5" s="3" t="s">
        <v>6</v>
      </c>
      <c r="B5" s="5" t="n">
        <v>4</v>
      </c>
      <c r="C5" s="3" t="s">
        <v>7</v>
      </c>
    </row>
    <row r="6" customFormat="false" ht="15" hidden="false" customHeight="false" outlineLevel="0" collapsed="false">
      <c r="A6" s="3" t="s">
        <v>8</v>
      </c>
      <c r="B6" s="5" t="n">
        <v>2</v>
      </c>
      <c r="C6" s="3" t="s">
        <v>9</v>
      </c>
    </row>
    <row r="7" customFormat="false" ht="15" hidden="false" customHeight="false" outlineLevel="0" collapsed="false">
      <c r="A7" s="3" t="s">
        <v>10</v>
      </c>
      <c r="B7" s="5" t="s">
        <v>11</v>
      </c>
      <c r="C7" s="3" t="s">
        <v>12</v>
      </c>
    </row>
    <row r="8" customFormat="false" ht="15" hidden="false" customHeight="false" outlineLevel="0" collapsed="false">
      <c r="A8" s="3" t="s">
        <v>13</v>
      </c>
      <c r="B8" s="5" t="s">
        <v>14</v>
      </c>
      <c r="C8" s="3" t="s">
        <v>15</v>
      </c>
    </row>
    <row r="10" customFormat="false" ht="15" hidden="false" customHeight="false" outlineLevel="0" collapsed="false">
      <c r="A10" s="6" t="s">
        <v>16</v>
      </c>
    </row>
    <row r="11" customFormat="false" ht="15" hidden="false" customHeight="false" outlineLevel="0" collapsed="false">
      <c r="A11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4" min="10" style="0" width="11"/>
    <col collapsed="false" customWidth="true" hidden="false" outlineLevel="0" max="44" min="15" style="0" width="3.2"/>
  </cols>
  <sheetData>
    <row r="1" customFormat="false" ht="16.15" hidden="false" customHeight="false" outlineLevel="0" collapsed="false">
      <c r="A1" s="7" t="s">
        <v>18</v>
      </c>
    </row>
    <row r="3" customFormat="false" ht="30" hidden="false" customHeight="true" outlineLevel="0" collapsed="false">
      <c r="A3" s="8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  <c r="T3" s="9" t="n">
        <v>6</v>
      </c>
      <c r="U3" s="9" t="n">
        <v>7</v>
      </c>
      <c r="V3" s="9" t="n">
        <v>8</v>
      </c>
      <c r="W3" s="9" t="n">
        <v>9</v>
      </c>
      <c r="X3" s="9" t="n">
        <v>10</v>
      </c>
      <c r="Y3" s="9" t="n">
        <v>11</v>
      </c>
      <c r="Z3" s="9" t="n">
        <v>12</v>
      </c>
      <c r="AA3" s="9" t="n">
        <v>13</v>
      </c>
      <c r="AB3" s="9" t="n">
        <v>14</v>
      </c>
      <c r="AC3" s="9" t="n">
        <v>15</v>
      </c>
      <c r="AD3" s="9" t="n">
        <v>16</v>
      </c>
      <c r="AE3" s="9" t="n">
        <v>17</v>
      </c>
      <c r="AF3" s="9" t="n">
        <v>18</v>
      </c>
      <c r="AG3" s="9" t="n">
        <v>19</v>
      </c>
      <c r="AH3" s="9" t="n">
        <v>20</v>
      </c>
      <c r="AI3" s="9" t="n">
        <v>21</v>
      </c>
      <c r="AJ3" s="9" t="n">
        <v>22</v>
      </c>
      <c r="AK3" s="9" t="n">
        <v>23</v>
      </c>
      <c r="AL3" s="9" t="n">
        <v>24</v>
      </c>
      <c r="AM3" s="9" t="n">
        <v>25</v>
      </c>
      <c r="AN3" s="9" t="n">
        <v>26</v>
      </c>
      <c r="AO3" s="9" t="n">
        <v>27</v>
      </c>
      <c r="AP3" s="9" t="n">
        <v>28</v>
      </c>
      <c r="AQ3" s="9" t="n">
        <v>29</v>
      </c>
      <c r="AR3" s="9" t="n">
        <v>30</v>
      </c>
    </row>
    <row r="4" customFormat="false" ht="15" hidden="false" customHeight="fals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1" t="n">
        <v>0.5</v>
      </c>
      <c r="F4" s="11" t="n">
        <v>0.5</v>
      </c>
      <c r="G4" s="10" t="s">
        <v>37</v>
      </c>
      <c r="H4" s="12" t="n">
        <v>1</v>
      </c>
      <c r="I4" s="12" t="n">
        <v>1</v>
      </c>
      <c r="J4" s="13" t="n">
        <f aca="false">INDEX(Calendario!$B$2:$B$31,MATCH(H4,Calendario!$A$2:$A$31,0))</f>
        <v>46323</v>
      </c>
      <c r="K4" s="13" t="n">
        <f aca="false">INDEX(Calendario!$B$2:$B$31,MATCH(I4,Calendario!$A$2:$A$31,0))</f>
        <v>46323</v>
      </c>
      <c r="L4" s="14" t="s">
        <v>38</v>
      </c>
      <c r="M4" s="13"/>
      <c r="N4" s="13"/>
      <c r="O4" s="15" t="n">
        <f aca="false">IF(AND(O$3&gt;=$H4,O$3&lt;=$I4),1,"")</f>
        <v>1</v>
      </c>
      <c r="P4" s="15" t="str">
        <f aca="false">IF(AND(P$3&gt;=$H4,P$3&lt;=$I4),1,"")</f>
        <v/>
      </c>
      <c r="Q4" s="15" t="str">
        <f aca="false">IF(AND(Q$3&gt;=$H4,Q$3&lt;=$I4),1,"")</f>
        <v/>
      </c>
      <c r="R4" s="15" t="str">
        <f aca="false">IF(AND(R$3&gt;=$H4,R$3&lt;=$I4),1,"")</f>
        <v/>
      </c>
      <c r="S4" s="15" t="str">
        <f aca="false">IF(AND(S$3&gt;=$H4,S$3&lt;=$I4),1,"")</f>
        <v/>
      </c>
      <c r="T4" s="15" t="str">
        <f aca="false">IF(AND(T$3&gt;=$H4,T$3&lt;=$I4),1,"")</f>
        <v/>
      </c>
      <c r="U4" s="15" t="str">
        <f aca="false">IF(AND(U$3&gt;=$H4,U$3&lt;=$I4),1,"")</f>
        <v/>
      </c>
      <c r="V4" s="15" t="str">
        <f aca="false">IF(AND(V$3&gt;=$H4,V$3&lt;=$I4),1,"")</f>
        <v/>
      </c>
      <c r="W4" s="15" t="str">
        <f aca="false">IF(AND(W$3&gt;=$H4,W$3&lt;=$I4),1,"")</f>
        <v/>
      </c>
      <c r="X4" s="15" t="str">
        <f aca="false">IF(AND(X$3&gt;=$H4,X$3&lt;=$I4),1,"")</f>
        <v/>
      </c>
      <c r="Y4" s="15" t="str">
        <f aca="false">IF(AND(Y$3&gt;=$H4,Y$3&lt;=$I4),1,"")</f>
        <v/>
      </c>
      <c r="Z4" s="15" t="str">
        <f aca="false">IF(AND(Z$3&gt;=$H4,Z$3&lt;=$I4),1,"")</f>
        <v/>
      </c>
      <c r="AA4" s="15" t="str">
        <f aca="false">IF(AND(AA$3&gt;=$H4,AA$3&lt;=$I4),1,"")</f>
        <v/>
      </c>
      <c r="AB4" s="15" t="str">
        <f aca="false">IF(AND(AB$3&gt;=$H4,AB$3&lt;=$I4),1,"")</f>
        <v/>
      </c>
      <c r="AC4" s="15" t="str">
        <f aca="false">IF(AND(AC$3&gt;=$H4,AC$3&lt;=$I4),1,"")</f>
        <v/>
      </c>
      <c r="AD4" s="15" t="str">
        <f aca="false">IF(AND(AD$3&gt;=$H4,AD$3&lt;=$I4),1,"")</f>
        <v/>
      </c>
      <c r="AE4" s="15" t="str">
        <f aca="false">IF(AND(AE$3&gt;=$H4,AE$3&lt;=$I4),1,"")</f>
        <v/>
      </c>
      <c r="AF4" s="15" t="str">
        <f aca="false">IF(AND(AF$3&gt;=$H4,AF$3&lt;=$I4),1,"")</f>
        <v/>
      </c>
      <c r="AG4" s="15" t="str">
        <f aca="false">IF(AND(AG$3&gt;=$H4,AG$3&lt;=$I4),1,"")</f>
        <v/>
      </c>
      <c r="AH4" s="15" t="str">
        <f aca="false">IF(AND(AH$3&gt;=$H4,AH$3&lt;=$I4),1,"")</f>
        <v/>
      </c>
      <c r="AI4" s="15" t="str">
        <f aca="false">IF(AND(AI$3&gt;=$H4,AI$3&lt;=$I4),1,"")</f>
        <v/>
      </c>
      <c r="AJ4" s="15" t="str">
        <f aca="false">IF(AND(AJ$3&gt;=$H4,AJ$3&lt;=$I4),1,"")</f>
        <v/>
      </c>
      <c r="AK4" s="15" t="str">
        <f aca="false">IF(AND(AK$3&gt;=$H4,AK$3&lt;=$I4),1,"")</f>
        <v/>
      </c>
      <c r="AL4" s="15" t="str">
        <f aca="false">IF(AND(AL$3&gt;=$H4,AL$3&lt;=$I4),1,"")</f>
        <v/>
      </c>
      <c r="AM4" s="15" t="str">
        <f aca="false">IF(AND(AM$3&gt;=$H4,AM$3&lt;=$I4),1,"")</f>
        <v/>
      </c>
      <c r="AN4" s="15" t="str">
        <f aca="false">IF(AND(AN$3&gt;=$H4,AN$3&lt;=$I4),1,"")</f>
        <v/>
      </c>
      <c r="AO4" s="15" t="str">
        <f aca="false">IF(AND(AO$3&gt;=$H4,AO$3&lt;=$I4),1,"")</f>
        <v/>
      </c>
      <c r="AP4" s="15" t="str">
        <f aca="false">IF(AND(AP$3&gt;=$H4,AP$3&lt;=$I4),1,"")</f>
        <v/>
      </c>
      <c r="AQ4" s="15" t="str">
        <f aca="false">IF(AND(AQ$3&gt;=$H4,AQ$3&lt;=$I4),1,"")</f>
        <v/>
      </c>
      <c r="AR4" s="15" t="str">
        <f aca="false">IF(AND(AR$3&gt;=$H4,AR$3&lt;=$I4),1,"")</f>
        <v/>
      </c>
    </row>
    <row r="5" customFormat="false" ht="15" hidden="false" customHeight="false" outlineLevel="0" collapsed="false">
      <c r="A5" s="10" t="s">
        <v>33</v>
      </c>
      <c r="B5" s="10" t="s">
        <v>39</v>
      </c>
      <c r="C5" s="10" t="s">
        <v>40</v>
      </c>
      <c r="D5" s="10"/>
      <c r="E5" s="11" t="n">
        <v>0.5</v>
      </c>
      <c r="F5" s="11" t="n">
        <v>0</v>
      </c>
      <c r="G5" s="10" t="s">
        <v>41</v>
      </c>
      <c r="H5" s="12" t="n">
        <v>1</v>
      </c>
      <c r="I5" s="12" t="n">
        <v>1</v>
      </c>
      <c r="J5" s="13" t="n">
        <f aca="false">INDEX(Calendario!$B$2:$B$31,MATCH(H5,Calendario!$A$2:$A$31,0))</f>
        <v>46323</v>
      </c>
      <c r="K5" s="13" t="n">
        <f aca="false">INDEX(Calendario!$B$2:$B$31,MATCH(I5,Calendario!$A$2:$A$31,0))</f>
        <v>46323</v>
      </c>
      <c r="L5" s="14" t="s">
        <v>38</v>
      </c>
      <c r="M5" s="13"/>
      <c r="N5" s="13"/>
      <c r="O5" s="15" t="n">
        <f aca="false">IF(AND(O$3&gt;=$H5,O$3&lt;=$I5),1,"")</f>
        <v>1</v>
      </c>
      <c r="P5" s="15" t="str">
        <f aca="false">IF(AND(P$3&gt;=$H5,P$3&lt;=$I5),1,"")</f>
        <v/>
      </c>
      <c r="Q5" s="15" t="str">
        <f aca="false">IF(AND(Q$3&gt;=$H5,Q$3&lt;=$I5),1,"")</f>
        <v/>
      </c>
      <c r="R5" s="15" t="str">
        <f aca="false">IF(AND(R$3&gt;=$H5,R$3&lt;=$I5),1,"")</f>
        <v/>
      </c>
      <c r="S5" s="15" t="str">
        <f aca="false">IF(AND(S$3&gt;=$H5,S$3&lt;=$I5),1,"")</f>
        <v/>
      </c>
      <c r="T5" s="15" t="str">
        <f aca="false">IF(AND(T$3&gt;=$H5,T$3&lt;=$I5),1,"")</f>
        <v/>
      </c>
      <c r="U5" s="15" t="str">
        <f aca="false">IF(AND(U$3&gt;=$H5,U$3&lt;=$I5),1,"")</f>
        <v/>
      </c>
      <c r="V5" s="15" t="str">
        <f aca="false">IF(AND(V$3&gt;=$H5,V$3&lt;=$I5),1,"")</f>
        <v/>
      </c>
      <c r="W5" s="15" t="str">
        <f aca="false">IF(AND(W$3&gt;=$H5,W$3&lt;=$I5),1,"")</f>
        <v/>
      </c>
      <c r="X5" s="15" t="str">
        <f aca="false">IF(AND(X$3&gt;=$H5,X$3&lt;=$I5),1,"")</f>
        <v/>
      </c>
      <c r="Y5" s="15" t="str">
        <f aca="false">IF(AND(Y$3&gt;=$H5,Y$3&lt;=$I5),1,"")</f>
        <v/>
      </c>
      <c r="Z5" s="15" t="str">
        <f aca="false">IF(AND(Z$3&gt;=$H5,Z$3&lt;=$I5),1,"")</f>
        <v/>
      </c>
      <c r="AA5" s="15" t="str">
        <f aca="false">IF(AND(AA$3&gt;=$H5,AA$3&lt;=$I5),1,"")</f>
        <v/>
      </c>
      <c r="AB5" s="15" t="str">
        <f aca="false">IF(AND(AB$3&gt;=$H5,AB$3&lt;=$I5),1,"")</f>
        <v/>
      </c>
      <c r="AC5" s="15" t="str">
        <f aca="false">IF(AND(AC$3&gt;=$H5,AC$3&lt;=$I5),1,"")</f>
        <v/>
      </c>
      <c r="AD5" s="15" t="str">
        <f aca="false">IF(AND(AD$3&gt;=$H5,AD$3&lt;=$I5),1,"")</f>
        <v/>
      </c>
      <c r="AE5" s="15" t="str">
        <f aca="false">IF(AND(AE$3&gt;=$H5,AE$3&lt;=$I5),1,"")</f>
        <v/>
      </c>
      <c r="AF5" s="15" t="str">
        <f aca="false">IF(AND(AF$3&gt;=$H5,AF$3&lt;=$I5),1,"")</f>
        <v/>
      </c>
      <c r="AG5" s="15" t="str">
        <f aca="false">IF(AND(AG$3&gt;=$H5,AG$3&lt;=$I5),1,"")</f>
        <v/>
      </c>
      <c r="AH5" s="15" t="str">
        <f aca="false">IF(AND(AH$3&gt;=$H5,AH$3&lt;=$I5),1,"")</f>
        <v/>
      </c>
      <c r="AI5" s="15" t="str">
        <f aca="false">IF(AND(AI$3&gt;=$H5,AI$3&lt;=$I5),1,"")</f>
        <v/>
      </c>
      <c r="AJ5" s="15" t="str">
        <f aca="false">IF(AND(AJ$3&gt;=$H5,AJ$3&lt;=$I5),1,"")</f>
        <v/>
      </c>
      <c r="AK5" s="15" t="str">
        <f aca="false">IF(AND(AK$3&gt;=$H5,AK$3&lt;=$I5),1,"")</f>
        <v/>
      </c>
      <c r="AL5" s="15" t="str">
        <f aca="false">IF(AND(AL$3&gt;=$H5,AL$3&lt;=$I5),1,"")</f>
        <v/>
      </c>
      <c r="AM5" s="15" t="str">
        <f aca="false">IF(AND(AM$3&gt;=$H5,AM$3&lt;=$I5),1,"")</f>
        <v/>
      </c>
      <c r="AN5" s="15" t="str">
        <f aca="false">IF(AND(AN$3&gt;=$H5,AN$3&lt;=$I5),1,"")</f>
        <v/>
      </c>
      <c r="AO5" s="15" t="str">
        <f aca="false">IF(AND(AO$3&gt;=$H5,AO$3&lt;=$I5),1,"")</f>
        <v/>
      </c>
      <c r="AP5" s="15" t="str">
        <f aca="false">IF(AND(AP$3&gt;=$H5,AP$3&lt;=$I5),1,"")</f>
        <v/>
      </c>
      <c r="AQ5" s="15" t="str">
        <f aca="false">IF(AND(AQ$3&gt;=$H5,AQ$3&lt;=$I5),1,"")</f>
        <v/>
      </c>
      <c r="AR5" s="15" t="str">
        <f aca="false">IF(AND(AR$3&gt;=$H5,AR$3&lt;=$I5),1,"")</f>
        <v/>
      </c>
    </row>
    <row r="6" customFormat="false" ht="15" hidden="false" customHeight="false" outlineLevel="0" collapsed="false">
      <c r="A6" s="10" t="s">
        <v>33</v>
      </c>
      <c r="B6" s="10" t="s">
        <v>42</v>
      </c>
      <c r="C6" s="10" t="s">
        <v>43</v>
      </c>
      <c r="D6" s="10"/>
      <c r="E6" s="11" t="n">
        <v>0</v>
      </c>
      <c r="F6" s="11" t="n">
        <v>0.5</v>
      </c>
      <c r="G6" s="10" t="s">
        <v>44</v>
      </c>
      <c r="H6" s="12" t="n">
        <v>1</v>
      </c>
      <c r="I6" s="12" t="n">
        <v>2</v>
      </c>
      <c r="J6" s="13" t="n">
        <f aca="false">INDEX(Calendario!$B$2:$B$31,MATCH(H6,Calendario!$A$2:$A$31,0))</f>
        <v>46323</v>
      </c>
      <c r="K6" s="13" t="n">
        <f aca="false">INDEX(Calendario!$B$2:$B$31,MATCH(I6,Calendario!$A$2:$A$31,0))</f>
        <v>46324</v>
      </c>
      <c r="L6" s="14" t="s">
        <v>38</v>
      </c>
      <c r="M6" s="13"/>
      <c r="N6" s="13"/>
      <c r="O6" s="15" t="n">
        <f aca="false">IF(AND(O$3&gt;=$H6,O$3&lt;=$I6),1,"")</f>
        <v>1</v>
      </c>
      <c r="P6" s="15" t="n">
        <f aca="false">IF(AND(P$3&gt;=$H6,P$3&lt;=$I6),1,"")</f>
        <v>1</v>
      </c>
      <c r="Q6" s="15" t="str">
        <f aca="false">IF(AND(Q$3&gt;=$H6,Q$3&lt;=$I6),1,"")</f>
        <v/>
      </c>
      <c r="R6" s="15" t="str">
        <f aca="false">IF(AND(R$3&gt;=$H6,R$3&lt;=$I6),1,"")</f>
        <v/>
      </c>
      <c r="S6" s="15" t="str">
        <f aca="false">IF(AND(S$3&gt;=$H6,S$3&lt;=$I6),1,"")</f>
        <v/>
      </c>
      <c r="T6" s="15" t="str">
        <f aca="false">IF(AND(T$3&gt;=$H6,T$3&lt;=$I6),1,"")</f>
        <v/>
      </c>
      <c r="U6" s="15" t="str">
        <f aca="false">IF(AND(U$3&gt;=$H6,U$3&lt;=$I6),1,"")</f>
        <v/>
      </c>
      <c r="V6" s="15" t="str">
        <f aca="false">IF(AND(V$3&gt;=$H6,V$3&lt;=$I6),1,"")</f>
        <v/>
      </c>
      <c r="W6" s="15" t="str">
        <f aca="false">IF(AND(W$3&gt;=$H6,W$3&lt;=$I6),1,"")</f>
        <v/>
      </c>
      <c r="X6" s="15" t="str">
        <f aca="false">IF(AND(X$3&gt;=$H6,X$3&lt;=$I6),1,"")</f>
        <v/>
      </c>
      <c r="Y6" s="15" t="str">
        <f aca="false">IF(AND(Y$3&gt;=$H6,Y$3&lt;=$I6),1,"")</f>
        <v/>
      </c>
      <c r="Z6" s="15" t="str">
        <f aca="false">IF(AND(Z$3&gt;=$H6,Z$3&lt;=$I6),1,"")</f>
        <v/>
      </c>
      <c r="AA6" s="15" t="str">
        <f aca="false">IF(AND(AA$3&gt;=$H6,AA$3&lt;=$I6),1,"")</f>
        <v/>
      </c>
      <c r="AB6" s="15" t="str">
        <f aca="false">IF(AND(AB$3&gt;=$H6,AB$3&lt;=$I6),1,"")</f>
        <v/>
      </c>
      <c r="AC6" s="15" t="str">
        <f aca="false">IF(AND(AC$3&gt;=$H6,AC$3&lt;=$I6),1,"")</f>
        <v/>
      </c>
      <c r="AD6" s="15" t="str">
        <f aca="false">IF(AND(AD$3&gt;=$H6,AD$3&lt;=$I6),1,"")</f>
        <v/>
      </c>
      <c r="AE6" s="15" t="str">
        <f aca="false">IF(AND(AE$3&gt;=$H6,AE$3&lt;=$I6),1,"")</f>
        <v/>
      </c>
      <c r="AF6" s="15" t="str">
        <f aca="false">IF(AND(AF$3&gt;=$H6,AF$3&lt;=$I6),1,"")</f>
        <v/>
      </c>
      <c r="AG6" s="15" t="str">
        <f aca="false">IF(AND(AG$3&gt;=$H6,AG$3&lt;=$I6),1,"")</f>
        <v/>
      </c>
      <c r="AH6" s="15" t="str">
        <f aca="false">IF(AND(AH$3&gt;=$H6,AH$3&lt;=$I6),1,"")</f>
        <v/>
      </c>
      <c r="AI6" s="15" t="str">
        <f aca="false">IF(AND(AI$3&gt;=$H6,AI$3&lt;=$I6),1,"")</f>
        <v/>
      </c>
      <c r="AJ6" s="15" t="str">
        <f aca="false">IF(AND(AJ$3&gt;=$H6,AJ$3&lt;=$I6),1,"")</f>
        <v/>
      </c>
      <c r="AK6" s="15" t="str">
        <f aca="false">IF(AND(AK$3&gt;=$H6,AK$3&lt;=$I6),1,"")</f>
        <v/>
      </c>
      <c r="AL6" s="15" t="str">
        <f aca="false">IF(AND(AL$3&gt;=$H6,AL$3&lt;=$I6),1,"")</f>
        <v/>
      </c>
      <c r="AM6" s="15" t="str">
        <f aca="false">IF(AND(AM$3&gt;=$H6,AM$3&lt;=$I6),1,"")</f>
        <v/>
      </c>
      <c r="AN6" s="15" t="str">
        <f aca="false">IF(AND(AN$3&gt;=$H6,AN$3&lt;=$I6),1,"")</f>
        <v/>
      </c>
      <c r="AO6" s="15" t="str">
        <f aca="false">IF(AND(AO$3&gt;=$H6,AO$3&lt;=$I6),1,"")</f>
        <v/>
      </c>
      <c r="AP6" s="15" t="str">
        <f aca="false">IF(AND(AP$3&gt;=$H6,AP$3&lt;=$I6),1,"")</f>
        <v/>
      </c>
      <c r="AQ6" s="15" t="str">
        <f aca="false">IF(AND(AQ$3&gt;=$H6,AQ$3&lt;=$I6),1,"")</f>
        <v/>
      </c>
      <c r="AR6" s="15" t="str">
        <f aca="false">IF(AND(AR$3&gt;=$H6,AR$3&lt;=$I6),1,"")</f>
        <v/>
      </c>
    </row>
    <row r="7" customFormat="false" ht="15" hidden="false" customHeight="false" outlineLevel="0" collapsed="false">
      <c r="A7" s="10" t="s">
        <v>33</v>
      </c>
      <c r="B7" s="10" t="s">
        <v>45</v>
      </c>
      <c r="C7" s="10" t="s">
        <v>46</v>
      </c>
      <c r="D7" s="10" t="s">
        <v>47</v>
      </c>
      <c r="E7" s="11" t="n">
        <v>0.5</v>
      </c>
      <c r="F7" s="11" t="n">
        <v>0</v>
      </c>
      <c r="G7" s="10" t="s">
        <v>41</v>
      </c>
      <c r="H7" s="12" t="n">
        <v>2</v>
      </c>
      <c r="I7" s="12" t="n">
        <v>2</v>
      </c>
      <c r="J7" s="13" t="n">
        <f aca="false">INDEX(Calendario!$B$2:$B$31,MATCH(H7,Calendario!$A$2:$A$31,0))</f>
        <v>46324</v>
      </c>
      <c r="K7" s="13" t="n">
        <f aca="false">INDEX(Calendario!$B$2:$B$31,MATCH(I7,Calendario!$A$2:$A$31,0))</f>
        <v>46324</v>
      </c>
      <c r="L7" s="14" t="s">
        <v>38</v>
      </c>
      <c r="M7" s="13"/>
      <c r="N7" s="13"/>
      <c r="O7" s="15" t="str">
        <f aca="false">IF(AND(O$3&gt;=$H7,O$3&lt;=$I7),1,"")</f>
        <v/>
      </c>
      <c r="P7" s="15" t="n">
        <f aca="false">IF(AND(P$3&gt;=$H7,P$3&lt;=$I7),1,"")</f>
        <v>1</v>
      </c>
      <c r="Q7" s="15" t="str">
        <f aca="false">IF(AND(Q$3&gt;=$H7,Q$3&lt;=$I7),1,"")</f>
        <v/>
      </c>
      <c r="R7" s="15" t="str">
        <f aca="false">IF(AND(R$3&gt;=$H7,R$3&lt;=$I7),1,"")</f>
        <v/>
      </c>
      <c r="S7" s="15" t="str">
        <f aca="false">IF(AND(S$3&gt;=$H7,S$3&lt;=$I7),1,"")</f>
        <v/>
      </c>
      <c r="T7" s="15" t="str">
        <f aca="false">IF(AND(T$3&gt;=$H7,T$3&lt;=$I7),1,"")</f>
        <v/>
      </c>
      <c r="U7" s="15" t="str">
        <f aca="false">IF(AND(U$3&gt;=$H7,U$3&lt;=$I7),1,"")</f>
        <v/>
      </c>
      <c r="V7" s="15" t="str">
        <f aca="false">IF(AND(V$3&gt;=$H7,V$3&lt;=$I7),1,"")</f>
        <v/>
      </c>
      <c r="W7" s="15" t="str">
        <f aca="false">IF(AND(W$3&gt;=$H7,W$3&lt;=$I7),1,"")</f>
        <v/>
      </c>
      <c r="X7" s="15" t="str">
        <f aca="false">IF(AND(X$3&gt;=$H7,X$3&lt;=$I7),1,"")</f>
        <v/>
      </c>
      <c r="Y7" s="15" t="str">
        <f aca="false">IF(AND(Y$3&gt;=$H7,Y$3&lt;=$I7),1,"")</f>
        <v/>
      </c>
      <c r="Z7" s="15" t="str">
        <f aca="false">IF(AND(Z$3&gt;=$H7,Z$3&lt;=$I7),1,"")</f>
        <v/>
      </c>
      <c r="AA7" s="15" t="str">
        <f aca="false">IF(AND(AA$3&gt;=$H7,AA$3&lt;=$I7),1,"")</f>
        <v/>
      </c>
      <c r="AB7" s="15" t="str">
        <f aca="false">IF(AND(AB$3&gt;=$H7,AB$3&lt;=$I7),1,"")</f>
        <v/>
      </c>
      <c r="AC7" s="15" t="str">
        <f aca="false">IF(AND(AC$3&gt;=$H7,AC$3&lt;=$I7),1,"")</f>
        <v/>
      </c>
      <c r="AD7" s="15" t="str">
        <f aca="false">IF(AND(AD$3&gt;=$H7,AD$3&lt;=$I7),1,"")</f>
        <v/>
      </c>
      <c r="AE7" s="15" t="str">
        <f aca="false">IF(AND(AE$3&gt;=$H7,AE$3&lt;=$I7),1,"")</f>
        <v/>
      </c>
      <c r="AF7" s="15" t="str">
        <f aca="false">IF(AND(AF$3&gt;=$H7,AF$3&lt;=$I7),1,"")</f>
        <v/>
      </c>
      <c r="AG7" s="15" t="str">
        <f aca="false">IF(AND(AG$3&gt;=$H7,AG$3&lt;=$I7),1,"")</f>
        <v/>
      </c>
      <c r="AH7" s="15" t="str">
        <f aca="false">IF(AND(AH$3&gt;=$H7,AH$3&lt;=$I7),1,"")</f>
        <v/>
      </c>
      <c r="AI7" s="15" t="str">
        <f aca="false">IF(AND(AI$3&gt;=$H7,AI$3&lt;=$I7),1,"")</f>
        <v/>
      </c>
      <c r="AJ7" s="15" t="str">
        <f aca="false">IF(AND(AJ$3&gt;=$H7,AJ$3&lt;=$I7),1,"")</f>
        <v/>
      </c>
      <c r="AK7" s="15" t="str">
        <f aca="false">IF(AND(AK$3&gt;=$H7,AK$3&lt;=$I7),1,"")</f>
        <v/>
      </c>
      <c r="AL7" s="15" t="str">
        <f aca="false">IF(AND(AL$3&gt;=$H7,AL$3&lt;=$I7),1,"")</f>
        <v/>
      </c>
      <c r="AM7" s="15" t="str">
        <f aca="false">IF(AND(AM$3&gt;=$H7,AM$3&lt;=$I7),1,"")</f>
        <v/>
      </c>
      <c r="AN7" s="15" t="str">
        <f aca="false">IF(AND(AN$3&gt;=$H7,AN$3&lt;=$I7),1,"")</f>
        <v/>
      </c>
      <c r="AO7" s="15" t="str">
        <f aca="false">IF(AND(AO$3&gt;=$H7,AO$3&lt;=$I7),1,"")</f>
        <v/>
      </c>
      <c r="AP7" s="15" t="str">
        <f aca="false">IF(AND(AP$3&gt;=$H7,AP$3&lt;=$I7),1,"")</f>
        <v/>
      </c>
      <c r="AQ7" s="15" t="str">
        <f aca="false">IF(AND(AQ$3&gt;=$H7,AQ$3&lt;=$I7),1,"")</f>
        <v/>
      </c>
      <c r="AR7" s="15" t="str">
        <f aca="false">IF(AND(AR$3&gt;=$H7,AR$3&lt;=$I7),1,"")</f>
        <v/>
      </c>
    </row>
    <row r="8" customFormat="false" ht="15" hidden="false" customHeight="false" outlineLevel="0" collapsed="false">
      <c r="A8" s="10" t="s">
        <v>33</v>
      </c>
      <c r="B8" s="10" t="s">
        <v>48</v>
      </c>
      <c r="C8" s="10" t="s">
        <v>49</v>
      </c>
      <c r="D8" s="10" t="s">
        <v>50</v>
      </c>
      <c r="E8" s="11" t="n">
        <v>0.5</v>
      </c>
      <c r="F8" s="11" t="n">
        <v>0.5</v>
      </c>
      <c r="G8" s="10" t="s">
        <v>37</v>
      </c>
      <c r="H8" s="12" t="n">
        <v>2</v>
      </c>
      <c r="I8" s="12" t="n">
        <v>2</v>
      </c>
      <c r="J8" s="13" t="n">
        <f aca="false">INDEX(Calendario!$B$2:$B$31,MATCH(H8,Calendario!$A$2:$A$31,0))</f>
        <v>46324</v>
      </c>
      <c r="K8" s="13" t="n">
        <f aca="false">INDEX(Calendario!$B$2:$B$31,MATCH(I8,Calendario!$A$2:$A$31,0))</f>
        <v>46324</v>
      </c>
      <c r="L8" s="14" t="s">
        <v>38</v>
      </c>
      <c r="M8" s="13"/>
      <c r="N8" s="13"/>
      <c r="O8" s="15" t="str">
        <f aca="false">IF(AND(O$3&gt;=$H8,O$3&lt;=$I8),1,"")</f>
        <v/>
      </c>
      <c r="P8" s="15" t="n">
        <f aca="false">IF(AND(P$3&gt;=$H8,P$3&lt;=$I8),1,"")</f>
        <v>1</v>
      </c>
      <c r="Q8" s="15" t="str">
        <f aca="false">IF(AND(Q$3&gt;=$H8,Q$3&lt;=$I8),1,"")</f>
        <v/>
      </c>
      <c r="R8" s="15" t="str">
        <f aca="false">IF(AND(R$3&gt;=$H8,R$3&lt;=$I8),1,"")</f>
        <v/>
      </c>
      <c r="S8" s="15" t="str">
        <f aca="false">IF(AND(S$3&gt;=$H8,S$3&lt;=$I8),1,"")</f>
        <v/>
      </c>
      <c r="T8" s="15" t="str">
        <f aca="false">IF(AND(T$3&gt;=$H8,T$3&lt;=$I8),1,"")</f>
        <v/>
      </c>
      <c r="U8" s="15" t="str">
        <f aca="false">IF(AND(U$3&gt;=$H8,U$3&lt;=$I8),1,"")</f>
        <v/>
      </c>
      <c r="V8" s="15" t="str">
        <f aca="false">IF(AND(V$3&gt;=$H8,V$3&lt;=$I8),1,"")</f>
        <v/>
      </c>
      <c r="W8" s="15" t="str">
        <f aca="false">IF(AND(W$3&gt;=$H8,W$3&lt;=$I8),1,"")</f>
        <v/>
      </c>
      <c r="X8" s="15" t="str">
        <f aca="false">IF(AND(X$3&gt;=$H8,X$3&lt;=$I8),1,"")</f>
        <v/>
      </c>
      <c r="Y8" s="15" t="str">
        <f aca="false">IF(AND(Y$3&gt;=$H8,Y$3&lt;=$I8),1,"")</f>
        <v/>
      </c>
      <c r="Z8" s="15" t="str">
        <f aca="false">IF(AND(Z$3&gt;=$H8,Z$3&lt;=$I8),1,"")</f>
        <v/>
      </c>
      <c r="AA8" s="15" t="str">
        <f aca="false">IF(AND(AA$3&gt;=$H8,AA$3&lt;=$I8),1,"")</f>
        <v/>
      </c>
      <c r="AB8" s="15" t="str">
        <f aca="false">IF(AND(AB$3&gt;=$H8,AB$3&lt;=$I8),1,"")</f>
        <v/>
      </c>
      <c r="AC8" s="15" t="str">
        <f aca="false">IF(AND(AC$3&gt;=$H8,AC$3&lt;=$I8),1,"")</f>
        <v/>
      </c>
      <c r="AD8" s="15" t="str">
        <f aca="false">IF(AND(AD$3&gt;=$H8,AD$3&lt;=$I8),1,"")</f>
        <v/>
      </c>
      <c r="AE8" s="15" t="str">
        <f aca="false">IF(AND(AE$3&gt;=$H8,AE$3&lt;=$I8),1,"")</f>
        <v/>
      </c>
      <c r="AF8" s="15" t="str">
        <f aca="false">IF(AND(AF$3&gt;=$H8,AF$3&lt;=$I8),1,"")</f>
        <v/>
      </c>
      <c r="AG8" s="15" t="str">
        <f aca="false">IF(AND(AG$3&gt;=$H8,AG$3&lt;=$I8),1,"")</f>
        <v/>
      </c>
      <c r="AH8" s="15" t="str">
        <f aca="false">IF(AND(AH$3&gt;=$H8,AH$3&lt;=$I8),1,"")</f>
        <v/>
      </c>
      <c r="AI8" s="15" t="str">
        <f aca="false">IF(AND(AI$3&gt;=$H8,AI$3&lt;=$I8),1,"")</f>
        <v/>
      </c>
      <c r="AJ8" s="15" t="str">
        <f aca="false">IF(AND(AJ$3&gt;=$H8,AJ$3&lt;=$I8),1,"")</f>
        <v/>
      </c>
      <c r="AK8" s="15" t="str">
        <f aca="false">IF(AND(AK$3&gt;=$H8,AK$3&lt;=$I8),1,"")</f>
        <v/>
      </c>
      <c r="AL8" s="15" t="str">
        <f aca="false">IF(AND(AL$3&gt;=$H8,AL$3&lt;=$I8),1,"")</f>
        <v/>
      </c>
      <c r="AM8" s="15" t="str">
        <f aca="false">IF(AND(AM$3&gt;=$H8,AM$3&lt;=$I8),1,"")</f>
        <v/>
      </c>
      <c r="AN8" s="15" t="str">
        <f aca="false">IF(AND(AN$3&gt;=$H8,AN$3&lt;=$I8),1,"")</f>
        <v/>
      </c>
      <c r="AO8" s="15" t="str">
        <f aca="false">IF(AND(AO$3&gt;=$H8,AO$3&lt;=$I8),1,"")</f>
        <v/>
      </c>
      <c r="AP8" s="15" t="str">
        <f aca="false">IF(AND(AP$3&gt;=$H8,AP$3&lt;=$I8),1,"")</f>
        <v/>
      </c>
      <c r="AQ8" s="15" t="str">
        <f aca="false">IF(AND(AQ$3&gt;=$H8,AQ$3&lt;=$I8),1,"")</f>
        <v/>
      </c>
      <c r="AR8" s="15" t="str">
        <f aca="false">IF(AND(AR$3&gt;=$H8,AR$3&lt;=$I8),1,"")</f>
        <v/>
      </c>
    </row>
    <row r="9" customFormat="false" ht="15" hidden="false" customHeight="false" outlineLevel="0" collapsed="false">
      <c r="A9" s="10" t="s">
        <v>51</v>
      </c>
      <c r="B9" s="10" t="s">
        <v>52</v>
      </c>
      <c r="C9" s="10" t="s">
        <v>53</v>
      </c>
      <c r="D9" s="10" t="s">
        <v>54</v>
      </c>
      <c r="E9" s="11" t="n">
        <v>0</v>
      </c>
      <c r="F9" s="11" t="n">
        <v>1</v>
      </c>
      <c r="G9" s="10" t="s">
        <v>44</v>
      </c>
      <c r="H9" s="12" t="n">
        <v>2</v>
      </c>
      <c r="I9" s="12" t="n">
        <v>3</v>
      </c>
      <c r="J9" s="13" t="n">
        <f aca="false">INDEX(Calendario!$B$2:$B$31,MATCH(H9,Calendario!$A$2:$A$31,0))</f>
        <v>46324</v>
      </c>
      <c r="K9" s="13" t="n">
        <f aca="false">INDEX(Calendario!$B$2:$B$31,MATCH(I9,Calendario!$A$2:$A$31,0))</f>
        <v>46325</v>
      </c>
      <c r="L9" s="14" t="s">
        <v>38</v>
      </c>
      <c r="M9" s="13"/>
      <c r="N9" s="13"/>
      <c r="O9" s="15" t="str">
        <f aca="false">IF(AND(O$3&gt;=$H9,O$3&lt;=$I9),1,"")</f>
        <v/>
      </c>
      <c r="P9" s="15" t="n">
        <f aca="false">IF(AND(P$3&gt;=$H9,P$3&lt;=$I9),1,"")</f>
        <v>1</v>
      </c>
      <c r="Q9" s="15" t="n">
        <f aca="false">IF(AND(Q$3&gt;=$H9,Q$3&lt;=$I9),1,"")</f>
        <v>1</v>
      </c>
      <c r="R9" s="15" t="str">
        <f aca="false">IF(AND(R$3&gt;=$H9,R$3&lt;=$I9),1,"")</f>
        <v/>
      </c>
      <c r="S9" s="15" t="str">
        <f aca="false">IF(AND(S$3&gt;=$H9,S$3&lt;=$I9),1,"")</f>
        <v/>
      </c>
      <c r="T9" s="15" t="str">
        <f aca="false">IF(AND(T$3&gt;=$H9,T$3&lt;=$I9),1,"")</f>
        <v/>
      </c>
      <c r="U9" s="15" t="str">
        <f aca="false">IF(AND(U$3&gt;=$H9,U$3&lt;=$I9),1,"")</f>
        <v/>
      </c>
      <c r="V9" s="15" t="str">
        <f aca="false">IF(AND(V$3&gt;=$H9,V$3&lt;=$I9),1,"")</f>
        <v/>
      </c>
      <c r="W9" s="15" t="str">
        <f aca="false">IF(AND(W$3&gt;=$H9,W$3&lt;=$I9),1,"")</f>
        <v/>
      </c>
      <c r="X9" s="15" t="str">
        <f aca="false">IF(AND(X$3&gt;=$H9,X$3&lt;=$I9),1,"")</f>
        <v/>
      </c>
      <c r="Y9" s="15" t="str">
        <f aca="false">IF(AND(Y$3&gt;=$H9,Y$3&lt;=$I9),1,"")</f>
        <v/>
      </c>
      <c r="Z9" s="15" t="str">
        <f aca="false">IF(AND(Z$3&gt;=$H9,Z$3&lt;=$I9),1,"")</f>
        <v/>
      </c>
      <c r="AA9" s="15" t="str">
        <f aca="false">IF(AND(AA$3&gt;=$H9,AA$3&lt;=$I9),1,"")</f>
        <v/>
      </c>
      <c r="AB9" s="15" t="str">
        <f aca="false">IF(AND(AB$3&gt;=$H9,AB$3&lt;=$I9),1,"")</f>
        <v/>
      </c>
      <c r="AC9" s="15" t="str">
        <f aca="false">IF(AND(AC$3&gt;=$H9,AC$3&lt;=$I9),1,"")</f>
        <v/>
      </c>
      <c r="AD9" s="15" t="str">
        <f aca="false">IF(AND(AD$3&gt;=$H9,AD$3&lt;=$I9),1,"")</f>
        <v/>
      </c>
      <c r="AE9" s="15" t="str">
        <f aca="false">IF(AND(AE$3&gt;=$H9,AE$3&lt;=$I9),1,"")</f>
        <v/>
      </c>
      <c r="AF9" s="15" t="str">
        <f aca="false">IF(AND(AF$3&gt;=$H9,AF$3&lt;=$I9),1,"")</f>
        <v/>
      </c>
      <c r="AG9" s="15" t="str">
        <f aca="false">IF(AND(AG$3&gt;=$H9,AG$3&lt;=$I9),1,"")</f>
        <v/>
      </c>
      <c r="AH9" s="15" t="str">
        <f aca="false">IF(AND(AH$3&gt;=$H9,AH$3&lt;=$I9),1,"")</f>
        <v/>
      </c>
      <c r="AI9" s="15" t="str">
        <f aca="false">IF(AND(AI$3&gt;=$H9,AI$3&lt;=$I9),1,"")</f>
        <v/>
      </c>
      <c r="AJ9" s="15" t="str">
        <f aca="false">IF(AND(AJ$3&gt;=$H9,AJ$3&lt;=$I9),1,"")</f>
        <v/>
      </c>
      <c r="AK9" s="15" t="str">
        <f aca="false">IF(AND(AK$3&gt;=$H9,AK$3&lt;=$I9),1,"")</f>
        <v/>
      </c>
      <c r="AL9" s="15" t="str">
        <f aca="false">IF(AND(AL$3&gt;=$H9,AL$3&lt;=$I9),1,"")</f>
        <v/>
      </c>
      <c r="AM9" s="15" t="str">
        <f aca="false">IF(AND(AM$3&gt;=$H9,AM$3&lt;=$I9),1,"")</f>
        <v/>
      </c>
      <c r="AN9" s="15" t="str">
        <f aca="false">IF(AND(AN$3&gt;=$H9,AN$3&lt;=$I9),1,"")</f>
        <v/>
      </c>
      <c r="AO9" s="15" t="str">
        <f aca="false">IF(AND(AO$3&gt;=$H9,AO$3&lt;=$I9),1,"")</f>
        <v/>
      </c>
      <c r="AP9" s="15" t="str">
        <f aca="false">IF(AND(AP$3&gt;=$H9,AP$3&lt;=$I9),1,"")</f>
        <v/>
      </c>
      <c r="AQ9" s="15" t="str">
        <f aca="false">IF(AND(AQ$3&gt;=$H9,AQ$3&lt;=$I9),1,"")</f>
        <v/>
      </c>
      <c r="AR9" s="15" t="str">
        <f aca="false">IF(AND(AR$3&gt;=$H9,AR$3&lt;=$I9),1,"")</f>
        <v/>
      </c>
    </row>
    <row r="10" customFormat="false" ht="15" hidden="false" customHeight="false" outlineLevel="0" collapsed="false">
      <c r="A10" s="10" t="s">
        <v>51</v>
      </c>
      <c r="B10" s="10" t="s">
        <v>55</v>
      </c>
      <c r="C10" s="10" t="s">
        <v>56</v>
      </c>
      <c r="D10" s="10"/>
      <c r="E10" s="11" t="n">
        <v>0.5</v>
      </c>
      <c r="F10" s="11" t="n">
        <v>0</v>
      </c>
      <c r="G10" s="10" t="s">
        <v>41</v>
      </c>
      <c r="H10" s="12" t="n">
        <v>3</v>
      </c>
      <c r="I10" s="12" t="n">
        <v>3</v>
      </c>
      <c r="J10" s="13" t="n">
        <f aca="false">INDEX(Calendario!$B$2:$B$31,MATCH(H10,Calendario!$A$2:$A$31,0))</f>
        <v>46325</v>
      </c>
      <c r="K10" s="13" t="n">
        <f aca="false">INDEX(Calendario!$B$2:$B$31,MATCH(I10,Calendario!$A$2:$A$31,0))</f>
        <v>46325</v>
      </c>
      <c r="L10" s="14" t="s">
        <v>38</v>
      </c>
      <c r="M10" s="13"/>
      <c r="N10" s="13"/>
      <c r="O10" s="15" t="str">
        <f aca="false">IF(AND(O$3&gt;=$H10,O$3&lt;=$I10),1,"")</f>
        <v/>
      </c>
      <c r="P10" s="15" t="str">
        <f aca="false">IF(AND(P$3&gt;=$H10,P$3&lt;=$I10),1,"")</f>
        <v/>
      </c>
      <c r="Q10" s="15" t="n">
        <f aca="false">IF(AND(Q$3&gt;=$H10,Q$3&lt;=$I10),1,"")</f>
        <v>1</v>
      </c>
      <c r="R10" s="15" t="str">
        <f aca="false">IF(AND(R$3&gt;=$H10,R$3&lt;=$I10),1,"")</f>
        <v/>
      </c>
      <c r="S10" s="15" t="str">
        <f aca="false">IF(AND(S$3&gt;=$H10,S$3&lt;=$I10),1,"")</f>
        <v/>
      </c>
      <c r="T10" s="15" t="str">
        <f aca="false">IF(AND(T$3&gt;=$H10,T$3&lt;=$I10),1,"")</f>
        <v/>
      </c>
      <c r="U10" s="15" t="str">
        <f aca="false">IF(AND(U$3&gt;=$H10,U$3&lt;=$I10),1,"")</f>
        <v/>
      </c>
      <c r="V10" s="15" t="str">
        <f aca="false">IF(AND(V$3&gt;=$H10,V$3&lt;=$I10),1,"")</f>
        <v/>
      </c>
      <c r="W10" s="15" t="str">
        <f aca="false">IF(AND(W$3&gt;=$H10,W$3&lt;=$I10),1,"")</f>
        <v/>
      </c>
      <c r="X10" s="15" t="str">
        <f aca="false">IF(AND(X$3&gt;=$H10,X$3&lt;=$I10),1,"")</f>
        <v/>
      </c>
      <c r="Y10" s="15" t="str">
        <f aca="false">IF(AND(Y$3&gt;=$H10,Y$3&lt;=$I10),1,"")</f>
        <v/>
      </c>
      <c r="Z10" s="15" t="str">
        <f aca="false">IF(AND(Z$3&gt;=$H10,Z$3&lt;=$I10),1,"")</f>
        <v/>
      </c>
      <c r="AA10" s="15" t="str">
        <f aca="false">IF(AND(AA$3&gt;=$H10,AA$3&lt;=$I10),1,"")</f>
        <v/>
      </c>
      <c r="AB10" s="15" t="str">
        <f aca="false">IF(AND(AB$3&gt;=$H10,AB$3&lt;=$I10),1,"")</f>
        <v/>
      </c>
      <c r="AC10" s="15" t="str">
        <f aca="false">IF(AND(AC$3&gt;=$H10,AC$3&lt;=$I10),1,"")</f>
        <v/>
      </c>
      <c r="AD10" s="15" t="str">
        <f aca="false">IF(AND(AD$3&gt;=$H10,AD$3&lt;=$I10),1,"")</f>
        <v/>
      </c>
      <c r="AE10" s="15" t="str">
        <f aca="false">IF(AND(AE$3&gt;=$H10,AE$3&lt;=$I10),1,"")</f>
        <v/>
      </c>
      <c r="AF10" s="15" t="str">
        <f aca="false">IF(AND(AF$3&gt;=$H10,AF$3&lt;=$I10),1,"")</f>
        <v/>
      </c>
      <c r="AG10" s="15" t="str">
        <f aca="false">IF(AND(AG$3&gt;=$H10,AG$3&lt;=$I10),1,"")</f>
        <v/>
      </c>
      <c r="AH10" s="15" t="str">
        <f aca="false">IF(AND(AH$3&gt;=$H10,AH$3&lt;=$I10),1,"")</f>
        <v/>
      </c>
      <c r="AI10" s="15" t="str">
        <f aca="false">IF(AND(AI$3&gt;=$H10,AI$3&lt;=$I10),1,"")</f>
        <v/>
      </c>
      <c r="AJ10" s="15" t="str">
        <f aca="false">IF(AND(AJ$3&gt;=$H10,AJ$3&lt;=$I10),1,"")</f>
        <v/>
      </c>
      <c r="AK10" s="15" t="str">
        <f aca="false">IF(AND(AK$3&gt;=$H10,AK$3&lt;=$I10),1,"")</f>
        <v/>
      </c>
      <c r="AL10" s="15" t="str">
        <f aca="false">IF(AND(AL$3&gt;=$H10,AL$3&lt;=$I10),1,"")</f>
        <v/>
      </c>
      <c r="AM10" s="15" t="str">
        <f aca="false">IF(AND(AM$3&gt;=$H10,AM$3&lt;=$I10),1,"")</f>
        <v/>
      </c>
      <c r="AN10" s="15" t="str">
        <f aca="false">IF(AND(AN$3&gt;=$H10,AN$3&lt;=$I10),1,"")</f>
        <v/>
      </c>
      <c r="AO10" s="15" t="str">
        <f aca="false">IF(AND(AO$3&gt;=$H10,AO$3&lt;=$I10),1,"")</f>
        <v/>
      </c>
      <c r="AP10" s="15" t="str">
        <f aca="false">IF(AND(AP$3&gt;=$H10,AP$3&lt;=$I10),1,"")</f>
        <v/>
      </c>
      <c r="AQ10" s="15" t="str">
        <f aca="false">IF(AND(AQ$3&gt;=$H10,AQ$3&lt;=$I10),1,"")</f>
        <v/>
      </c>
      <c r="AR10" s="15" t="str">
        <f aca="false">IF(AND(AR$3&gt;=$H10,AR$3&lt;=$I10),1,"")</f>
        <v/>
      </c>
    </row>
    <row r="11" customFormat="false" ht="15" hidden="false" customHeight="false" outlineLevel="0" collapsed="false">
      <c r="A11" s="10" t="s">
        <v>51</v>
      </c>
      <c r="B11" s="10" t="s">
        <v>57</v>
      </c>
      <c r="C11" s="10" t="s">
        <v>58</v>
      </c>
      <c r="D11" s="10"/>
      <c r="E11" s="11" t="n">
        <v>0</v>
      </c>
      <c r="F11" s="11" t="n">
        <v>0.5</v>
      </c>
      <c r="G11" s="10" t="s">
        <v>44</v>
      </c>
      <c r="H11" s="12" t="n">
        <v>3</v>
      </c>
      <c r="I11" s="12" t="n">
        <v>3</v>
      </c>
      <c r="J11" s="13" t="n">
        <f aca="false">INDEX(Calendario!$B$2:$B$31,MATCH(H11,Calendario!$A$2:$A$31,0))</f>
        <v>46325</v>
      </c>
      <c r="K11" s="13" t="n">
        <f aca="false">INDEX(Calendario!$B$2:$B$31,MATCH(I11,Calendario!$A$2:$A$31,0))</f>
        <v>46325</v>
      </c>
      <c r="L11" s="14" t="s">
        <v>38</v>
      </c>
      <c r="M11" s="13"/>
      <c r="N11" s="13"/>
      <c r="O11" s="15" t="str">
        <f aca="false">IF(AND(O$3&gt;=$H11,O$3&lt;=$I11),1,"")</f>
        <v/>
      </c>
      <c r="P11" s="15" t="str">
        <f aca="false">IF(AND(P$3&gt;=$H11,P$3&lt;=$I11),1,"")</f>
        <v/>
      </c>
      <c r="Q11" s="15" t="n">
        <f aca="false">IF(AND(Q$3&gt;=$H11,Q$3&lt;=$I11),1,"")</f>
        <v>1</v>
      </c>
      <c r="R11" s="15" t="str">
        <f aca="false">IF(AND(R$3&gt;=$H11,R$3&lt;=$I11),1,"")</f>
        <v/>
      </c>
      <c r="S11" s="15" t="str">
        <f aca="false">IF(AND(S$3&gt;=$H11,S$3&lt;=$I11),1,"")</f>
        <v/>
      </c>
      <c r="T11" s="15" t="str">
        <f aca="false">IF(AND(T$3&gt;=$H11,T$3&lt;=$I11),1,"")</f>
        <v/>
      </c>
      <c r="U11" s="15" t="str">
        <f aca="false">IF(AND(U$3&gt;=$H11,U$3&lt;=$I11),1,"")</f>
        <v/>
      </c>
      <c r="V11" s="15" t="str">
        <f aca="false">IF(AND(V$3&gt;=$H11,V$3&lt;=$I11),1,"")</f>
        <v/>
      </c>
      <c r="W11" s="15" t="str">
        <f aca="false">IF(AND(W$3&gt;=$H11,W$3&lt;=$I11),1,"")</f>
        <v/>
      </c>
      <c r="X11" s="15" t="str">
        <f aca="false">IF(AND(X$3&gt;=$H11,X$3&lt;=$I11),1,"")</f>
        <v/>
      </c>
      <c r="Y11" s="15" t="str">
        <f aca="false">IF(AND(Y$3&gt;=$H11,Y$3&lt;=$I11),1,"")</f>
        <v/>
      </c>
      <c r="Z11" s="15" t="str">
        <f aca="false">IF(AND(Z$3&gt;=$H11,Z$3&lt;=$I11),1,"")</f>
        <v/>
      </c>
      <c r="AA11" s="15" t="str">
        <f aca="false">IF(AND(AA$3&gt;=$H11,AA$3&lt;=$I11),1,"")</f>
        <v/>
      </c>
      <c r="AB11" s="15" t="str">
        <f aca="false">IF(AND(AB$3&gt;=$H11,AB$3&lt;=$I11),1,"")</f>
        <v/>
      </c>
      <c r="AC11" s="15" t="str">
        <f aca="false">IF(AND(AC$3&gt;=$H11,AC$3&lt;=$I11),1,"")</f>
        <v/>
      </c>
      <c r="AD11" s="15" t="str">
        <f aca="false">IF(AND(AD$3&gt;=$H11,AD$3&lt;=$I11),1,"")</f>
        <v/>
      </c>
      <c r="AE11" s="15" t="str">
        <f aca="false">IF(AND(AE$3&gt;=$H11,AE$3&lt;=$I11),1,"")</f>
        <v/>
      </c>
      <c r="AF11" s="15" t="str">
        <f aca="false">IF(AND(AF$3&gt;=$H11,AF$3&lt;=$I11),1,"")</f>
        <v/>
      </c>
      <c r="AG11" s="15" t="str">
        <f aca="false">IF(AND(AG$3&gt;=$H11,AG$3&lt;=$I11),1,"")</f>
        <v/>
      </c>
      <c r="AH11" s="15" t="str">
        <f aca="false">IF(AND(AH$3&gt;=$H11,AH$3&lt;=$I11),1,"")</f>
        <v/>
      </c>
      <c r="AI11" s="15" t="str">
        <f aca="false">IF(AND(AI$3&gt;=$H11,AI$3&lt;=$I11),1,"")</f>
        <v/>
      </c>
      <c r="AJ11" s="15" t="str">
        <f aca="false">IF(AND(AJ$3&gt;=$H11,AJ$3&lt;=$I11),1,"")</f>
        <v/>
      </c>
      <c r="AK11" s="15" t="str">
        <f aca="false">IF(AND(AK$3&gt;=$H11,AK$3&lt;=$I11),1,"")</f>
        <v/>
      </c>
      <c r="AL11" s="15" t="str">
        <f aca="false">IF(AND(AL$3&gt;=$H11,AL$3&lt;=$I11),1,"")</f>
        <v/>
      </c>
      <c r="AM11" s="15" t="str">
        <f aca="false">IF(AND(AM$3&gt;=$H11,AM$3&lt;=$I11),1,"")</f>
        <v/>
      </c>
      <c r="AN11" s="15" t="str">
        <f aca="false">IF(AND(AN$3&gt;=$H11,AN$3&lt;=$I11),1,"")</f>
        <v/>
      </c>
      <c r="AO11" s="15" t="str">
        <f aca="false">IF(AND(AO$3&gt;=$H11,AO$3&lt;=$I11),1,"")</f>
        <v/>
      </c>
      <c r="AP11" s="15" t="str">
        <f aca="false">IF(AND(AP$3&gt;=$H11,AP$3&lt;=$I11),1,"")</f>
        <v/>
      </c>
      <c r="AQ11" s="15" t="str">
        <f aca="false">IF(AND(AQ$3&gt;=$H11,AQ$3&lt;=$I11),1,"")</f>
        <v/>
      </c>
      <c r="AR11" s="15" t="str">
        <f aca="false">IF(AND(AR$3&gt;=$H11,AR$3&lt;=$I11),1,"")</f>
        <v/>
      </c>
    </row>
    <row r="12" customFormat="false" ht="15" hidden="false" customHeight="false" outlineLevel="0" collapsed="false">
      <c r="A12" s="10" t="s">
        <v>51</v>
      </c>
      <c r="B12" s="10" t="s">
        <v>59</v>
      </c>
      <c r="C12" s="10" t="s">
        <v>60</v>
      </c>
      <c r="D12" s="10" t="s">
        <v>61</v>
      </c>
      <c r="E12" s="11" t="n">
        <v>1</v>
      </c>
      <c r="F12" s="11" t="n">
        <v>0</v>
      </c>
      <c r="G12" s="10" t="s">
        <v>41</v>
      </c>
      <c r="H12" s="12" t="n">
        <v>3</v>
      </c>
      <c r="I12" s="12" t="n">
        <v>4</v>
      </c>
      <c r="J12" s="13" t="n">
        <f aca="false">INDEX(Calendario!$B$2:$B$31,MATCH(H12,Calendario!$A$2:$A$31,0))</f>
        <v>46325</v>
      </c>
      <c r="K12" s="13" t="n">
        <f aca="false">INDEX(Calendario!$B$2:$B$31,MATCH(I12,Calendario!$A$2:$A$31,0))</f>
        <v>46326</v>
      </c>
      <c r="L12" s="14" t="s">
        <v>38</v>
      </c>
      <c r="M12" s="13"/>
      <c r="N12" s="13"/>
      <c r="O12" s="15" t="str">
        <f aca="false">IF(AND(O$3&gt;=$H12,O$3&lt;=$I12),1,"")</f>
        <v/>
      </c>
      <c r="P12" s="15" t="str">
        <f aca="false">IF(AND(P$3&gt;=$H12,P$3&lt;=$I12),1,"")</f>
        <v/>
      </c>
      <c r="Q12" s="15" t="n">
        <f aca="false">IF(AND(Q$3&gt;=$H12,Q$3&lt;=$I12),1,"")</f>
        <v>1</v>
      </c>
      <c r="R12" s="15" t="n">
        <f aca="false">IF(AND(R$3&gt;=$H12,R$3&lt;=$I12),1,"")</f>
        <v>1</v>
      </c>
      <c r="S12" s="15" t="str">
        <f aca="false">IF(AND(S$3&gt;=$H12,S$3&lt;=$I12),1,"")</f>
        <v/>
      </c>
      <c r="T12" s="15" t="str">
        <f aca="false">IF(AND(T$3&gt;=$H12,T$3&lt;=$I12),1,"")</f>
        <v/>
      </c>
      <c r="U12" s="15" t="str">
        <f aca="false">IF(AND(U$3&gt;=$H12,U$3&lt;=$I12),1,"")</f>
        <v/>
      </c>
      <c r="V12" s="15" t="str">
        <f aca="false">IF(AND(V$3&gt;=$H12,V$3&lt;=$I12),1,"")</f>
        <v/>
      </c>
      <c r="W12" s="15" t="str">
        <f aca="false">IF(AND(W$3&gt;=$H12,W$3&lt;=$I12),1,"")</f>
        <v/>
      </c>
      <c r="X12" s="15" t="str">
        <f aca="false">IF(AND(X$3&gt;=$H12,X$3&lt;=$I12),1,"")</f>
        <v/>
      </c>
      <c r="Y12" s="15" t="str">
        <f aca="false">IF(AND(Y$3&gt;=$H12,Y$3&lt;=$I12),1,"")</f>
        <v/>
      </c>
      <c r="Z12" s="15" t="str">
        <f aca="false">IF(AND(Z$3&gt;=$H12,Z$3&lt;=$I12),1,"")</f>
        <v/>
      </c>
      <c r="AA12" s="15" t="str">
        <f aca="false">IF(AND(AA$3&gt;=$H12,AA$3&lt;=$I12),1,"")</f>
        <v/>
      </c>
      <c r="AB12" s="15" t="str">
        <f aca="false">IF(AND(AB$3&gt;=$H12,AB$3&lt;=$I12),1,"")</f>
        <v/>
      </c>
      <c r="AC12" s="15" t="str">
        <f aca="false">IF(AND(AC$3&gt;=$H12,AC$3&lt;=$I12),1,"")</f>
        <v/>
      </c>
      <c r="AD12" s="15" t="str">
        <f aca="false">IF(AND(AD$3&gt;=$H12,AD$3&lt;=$I12),1,"")</f>
        <v/>
      </c>
      <c r="AE12" s="15" t="str">
        <f aca="false">IF(AND(AE$3&gt;=$H12,AE$3&lt;=$I12),1,"")</f>
        <v/>
      </c>
      <c r="AF12" s="15" t="str">
        <f aca="false">IF(AND(AF$3&gt;=$H12,AF$3&lt;=$I12),1,"")</f>
        <v/>
      </c>
      <c r="AG12" s="15" t="str">
        <f aca="false">IF(AND(AG$3&gt;=$H12,AG$3&lt;=$I12),1,"")</f>
        <v/>
      </c>
      <c r="AH12" s="15" t="str">
        <f aca="false">IF(AND(AH$3&gt;=$H12,AH$3&lt;=$I12),1,"")</f>
        <v/>
      </c>
      <c r="AI12" s="15" t="str">
        <f aca="false">IF(AND(AI$3&gt;=$H12,AI$3&lt;=$I12),1,"")</f>
        <v/>
      </c>
      <c r="AJ12" s="15" t="str">
        <f aca="false">IF(AND(AJ$3&gt;=$H12,AJ$3&lt;=$I12),1,"")</f>
        <v/>
      </c>
      <c r="AK12" s="15" t="str">
        <f aca="false">IF(AND(AK$3&gt;=$H12,AK$3&lt;=$I12),1,"")</f>
        <v/>
      </c>
      <c r="AL12" s="15" t="str">
        <f aca="false">IF(AND(AL$3&gt;=$H12,AL$3&lt;=$I12),1,"")</f>
        <v/>
      </c>
      <c r="AM12" s="15" t="str">
        <f aca="false">IF(AND(AM$3&gt;=$H12,AM$3&lt;=$I12),1,"")</f>
        <v/>
      </c>
      <c r="AN12" s="15" t="str">
        <f aca="false">IF(AND(AN$3&gt;=$H12,AN$3&lt;=$I12),1,"")</f>
        <v/>
      </c>
      <c r="AO12" s="15" t="str">
        <f aca="false">IF(AND(AO$3&gt;=$H12,AO$3&lt;=$I12),1,"")</f>
        <v/>
      </c>
      <c r="AP12" s="15" t="str">
        <f aca="false">IF(AND(AP$3&gt;=$H12,AP$3&lt;=$I12),1,"")</f>
        <v/>
      </c>
      <c r="AQ12" s="15" t="str">
        <f aca="false">IF(AND(AQ$3&gt;=$H12,AQ$3&lt;=$I12),1,"")</f>
        <v/>
      </c>
      <c r="AR12" s="15" t="str">
        <f aca="false">IF(AND(AR$3&gt;=$H12,AR$3&lt;=$I12),1,"")</f>
        <v/>
      </c>
    </row>
    <row r="13" customFormat="false" ht="15" hidden="false" customHeight="false" outlineLevel="0" collapsed="false">
      <c r="A13" s="10" t="s">
        <v>51</v>
      </c>
      <c r="B13" s="10" t="s">
        <v>62</v>
      </c>
      <c r="C13" s="10" t="s">
        <v>63</v>
      </c>
      <c r="D13" s="10" t="s">
        <v>64</v>
      </c>
      <c r="E13" s="11" t="n">
        <v>0</v>
      </c>
      <c r="F13" s="11" t="n">
        <v>0.5</v>
      </c>
      <c r="G13" s="10" t="s">
        <v>44</v>
      </c>
      <c r="H13" s="12" t="n">
        <v>4</v>
      </c>
      <c r="I13" s="12" t="n">
        <v>4</v>
      </c>
      <c r="J13" s="13" t="n">
        <f aca="false">INDEX(Calendario!$B$2:$B$31,MATCH(H13,Calendario!$A$2:$A$31,0))</f>
        <v>46326</v>
      </c>
      <c r="K13" s="13" t="n">
        <f aca="false">INDEX(Calendario!$B$2:$B$31,MATCH(I13,Calendario!$A$2:$A$31,0))</f>
        <v>46326</v>
      </c>
      <c r="L13" s="14" t="s">
        <v>38</v>
      </c>
      <c r="M13" s="13"/>
      <c r="N13" s="13"/>
      <c r="O13" s="15" t="str">
        <f aca="false">IF(AND(O$3&gt;=$H13,O$3&lt;=$I13),1,"")</f>
        <v/>
      </c>
      <c r="P13" s="15" t="str">
        <f aca="false">IF(AND(P$3&gt;=$H13,P$3&lt;=$I13),1,"")</f>
        <v/>
      </c>
      <c r="Q13" s="15" t="str">
        <f aca="false">IF(AND(Q$3&gt;=$H13,Q$3&lt;=$I13),1,"")</f>
        <v/>
      </c>
      <c r="R13" s="15" t="n">
        <f aca="false">IF(AND(R$3&gt;=$H13,R$3&lt;=$I13),1,"")</f>
        <v>1</v>
      </c>
      <c r="S13" s="15" t="str">
        <f aca="false">IF(AND(S$3&gt;=$H13,S$3&lt;=$I13),1,"")</f>
        <v/>
      </c>
      <c r="T13" s="15" t="str">
        <f aca="false">IF(AND(T$3&gt;=$H13,T$3&lt;=$I13),1,"")</f>
        <v/>
      </c>
      <c r="U13" s="15" t="str">
        <f aca="false">IF(AND(U$3&gt;=$H13,U$3&lt;=$I13),1,"")</f>
        <v/>
      </c>
      <c r="V13" s="15" t="str">
        <f aca="false">IF(AND(V$3&gt;=$H13,V$3&lt;=$I13),1,"")</f>
        <v/>
      </c>
      <c r="W13" s="15" t="str">
        <f aca="false">IF(AND(W$3&gt;=$H13,W$3&lt;=$I13),1,"")</f>
        <v/>
      </c>
      <c r="X13" s="15" t="str">
        <f aca="false">IF(AND(X$3&gt;=$H13,X$3&lt;=$I13),1,"")</f>
        <v/>
      </c>
      <c r="Y13" s="15" t="str">
        <f aca="false">IF(AND(Y$3&gt;=$H13,Y$3&lt;=$I13),1,"")</f>
        <v/>
      </c>
      <c r="Z13" s="15" t="str">
        <f aca="false">IF(AND(Z$3&gt;=$H13,Z$3&lt;=$I13),1,"")</f>
        <v/>
      </c>
      <c r="AA13" s="15" t="str">
        <f aca="false">IF(AND(AA$3&gt;=$H13,AA$3&lt;=$I13),1,"")</f>
        <v/>
      </c>
      <c r="AB13" s="15" t="str">
        <f aca="false">IF(AND(AB$3&gt;=$H13,AB$3&lt;=$I13),1,"")</f>
        <v/>
      </c>
      <c r="AC13" s="15" t="str">
        <f aca="false">IF(AND(AC$3&gt;=$H13,AC$3&lt;=$I13),1,"")</f>
        <v/>
      </c>
      <c r="AD13" s="15" t="str">
        <f aca="false">IF(AND(AD$3&gt;=$H13,AD$3&lt;=$I13),1,"")</f>
        <v/>
      </c>
      <c r="AE13" s="15" t="str">
        <f aca="false">IF(AND(AE$3&gt;=$H13,AE$3&lt;=$I13),1,"")</f>
        <v/>
      </c>
      <c r="AF13" s="15" t="str">
        <f aca="false">IF(AND(AF$3&gt;=$H13,AF$3&lt;=$I13),1,"")</f>
        <v/>
      </c>
      <c r="AG13" s="15" t="str">
        <f aca="false">IF(AND(AG$3&gt;=$H13,AG$3&lt;=$I13),1,"")</f>
        <v/>
      </c>
      <c r="AH13" s="15" t="str">
        <f aca="false">IF(AND(AH$3&gt;=$H13,AH$3&lt;=$I13),1,"")</f>
        <v/>
      </c>
      <c r="AI13" s="15" t="str">
        <f aca="false">IF(AND(AI$3&gt;=$H13,AI$3&lt;=$I13),1,"")</f>
        <v/>
      </c>
      <c r="AJ13" s="15" t="str">
        <f aca="false">IF(AND(AJ$3&gt;=$H13,AJ$3&lt;=$I13),1,"")</f>
        <v/>
      </c>
      <c r="AK13" s="15" t="str">
        <f aca="false">IF(AND(AK$3&gt;=$H13,AK$3&lt;=$I13),1,"")</f>
        <v/>
      </c>
      <c r="AL13" s="15" t="str">
        <f aca="false">IF(AND(AL$3&gt;=$H13,AL$3&lt;=$I13),1,"")</f>
        <v/>
      </c>
      <c r="AM13" s="15" t="str">
        <f aca="false">IF(AND(AM$3&gt;=$H13,AM$3&lt;=$I13),1,"")</f>
        <v/>
      </c>
      <c r="AN13" s="15" t="str">
        <f aca="false">IF(AND(AN$3&gt;=$H13,AN$3&lt;=$I13),1,"")</f>
        <v/>
      </c>
      <c r="AO13" s="15" t="str">
        <f aca="false">IF(AND(AO$3&gt;=$H13,AO$3&lt;=$I13),1,"")</f>
        <v/>
      </c>
      <c r="AP13" s="15" t="str">
        <f aca="false">IF(AND(AP$3&gt;=$H13,AP$3&lt;=$I13),1,"")</f>
        <v/>
      </c>
      <c r="AQ13" s="15" t="str">
        <f aca="false">IF(AND(AQ$3&gt;=$H13,AQ$3&lt;=$I13),1,"")</f>
        <v/>
      </c>
      <c r="AR13" s="15" t="str">
        <f aca="false">IF(AND(AR$3&gt;=$H13,AR$3&lt;=$I13),1,"")</f>
        <v/>
      </c>
    </row>
    <row r="14" customFormat="false" ht="15" hidden="false" customHeight="false" outlineLevel="0" collapsed="false">
      <c r="A14" s="10" t="s">
        <v>51</v>
      </c>
      <c r="B14" s="10" t="s">
        <v>65</v>
      </c>
      <c r="C14" s="10" t="s">
        <v>66</v>
      </c>
      <c r="D14" s="10"/>
      <c r="E14" s="11" t="n">
        <v>1</v>
      </c>
      <c r="F14" s="11" t="n">
        <v>0</v>
      </c>
      <c r="G14" s="10" t="s">
        <v>41</v>
      </c>
      <c r="H14" s="12" t="n">
        <v>4</v>
      </c>
      <c r="I14" s="12" t="n">
        <v>6</v>
      </c>
      <c r="J14" s="13" t="n">
        <f aca="false">INDEX(Calendario!$B$2:$B$31,MATCH(H14,Calendario!$A$2:$A$31,0))</f>
        <v>46326</v>
      </c>
      <c r="K14" s="13" t="n">
        <f aca="false">INDEX(Calendario!$B$2:$B$31,MATCH(I14,Calendario!$A$2:$A$31,0))</f>
        <v>46328</v>
      </c>
      <c r="L14" s="14" t="s">
        <v>38</v>
      </c>
      <c r="M14" s="13"/>
      <c r="N14" s="13"/>
      <c r="O14" s="15" t="str">
        <f aca="false">IF(AND(O$3&gt;=$H14,O$3&lt;=$I14),1,"")</f>
        <v/>
      </c>
      <c r="P14" s="15" t="str">
        <f aca="false">IF(AND(P$3&gt;=$H14,P$3&lt;=$I14),1,"")</f>
        <v/>
      </c>
      <c r="Q14" s="15" t="str">
        <f aca="false">IF(AND(Q$3&gt;=$H14,Q$3&lt;=$I14),1,"")</f>
        <v/>
      </c>
      <c r="R14" s="15" t="n">
        <f aca="false">IF(AND(R$3&gt;=$H14,R$3&lt;=$I14),1,"")</f>
        <v>1</v>
      </c>
      <c r="S14" s="15" t="n">
        <f aca="false">IF(AND(S$3&gt;=$H14,S$3&lt;=$I14),1,"")</f>
        <v>1</v>
      </c>
      <c r="T14" s="15" t="n">
        <f aca="false">IF(AND(T$3&gt;=$H14,T$3&lt;=$I14),1,"")</f>
        <v>1</v>
      </c>
      <c r="U14" s="15" t="str">
        <f aca="false">IF(AND(U$3&gt;=$H14,U$3&lt;=$I14),1,"")</f>
        <v/>
      </c>
      <c r="V14" s="15" t="str">
        <f aca="false">IF(AND(V$3&gt;=$H14,V$3&lt;=$I14),1,"")</f>
        <v/>
      </c>
      <c r="W14" s="15" t="str">
        <f aca="false">IF(AND(W$3&gt;=$H14,W$3&lt;=$I14),1,"")</f>
        <v/>
      </c>
      <c r="X14" s="15" t="str">
        <f aca="false">IF(AND(X$3&gt;=$H14,X$3&lt;=$I14),1,"")</f>
        <v/>
      </c>
      <c r="Y14" s="15" t="str">
        <f aca="false">IF(AND(Y$3&gt;=$H14,Y$3&lt;=$I14),1,"")</f>
        <v/>
      </c>
      <c r="Z14" s="15" t="str">
        <f aca="false">IF(AND(Z$3&gt;=$H14,Z$3&lt;=$I14),1,"")</f>
        <v/>
      </c>
      <c r="AA14" s="15" t="str">
        <f aca="false">IF(AND(AA$3&gt;=$H14,AA$3&lt;=$I14),1,"")</f>
        <v/>
      </c>
      <c r="AB14" s="15" t="str">
        <f aca="false">IF(AND(AB$3&gt;=$H14,AB$3&lt;=$I14),1,"")</f>
        <v/>
      </c>
      <c r="AC14" s="15" t="str">
        <f aca="false">IF(AND(AC$3&gt;=$H14,AC$3&lt;=$I14),1,"")</f>
        <v/>
      </c>
      <c r="AD14" s="15" t="str">
        <f aca="false">IF(AND(AD$3&gt;=$H14,AD$3&lt;=$I14),1,"")</f>
        <v/>
      </c>
      <c r="AE14" s="15" t="str">
        <f aca="false">IF(AND(AE$3&gt;=$H14,AE$3&lt;=$I14),1,"")</f>
        <v/>
      </c>
      <c r="AF14" s="15" t="str">
        <f aca="false">IF(AND(AF$3&gt;=$H14,AF$3&lt;=$I14),1,"")</f>
        <v/>
      </c>
      <c r="AG14" s="15" t="str">
        <f aca="false">IF(AND(AG$3&gt;=$H14,AG$3&lt;=$I14),1,"")</f>
        <v/>
      </c>
      <c r="AH14" s="15" t="str">
        <f aca="false">IF(AND(AH$3&gt;=$H14,AH$3&lt;=$I14),1,"")</f>
        <v/>
      </c>
      <c r="AI14" s="15" t="str">
        <f aca="false">IF(AND(AI$3&gt;=$H14,AI$3&lt;=$I14),1,"")</f>
        <v/>
      </c>
      <c r="AJ14" s="15" t="str">
        <f aca="false">IF(AND(AJ$3&gt;=$H14,AJ$3&lt;=$I14),1,"")</f>
        <v/>
      </c>
      <c r="AK14" s="15" t="str">
        <f aca="false">IF(AND(AK$3&gt;=$H14,AK$3&lt;=$I14),1,"")</f>
        <v/>
      </c>
      <c r="AL14" s="15" t="str">
        <f aca="false">IF(AND(AL$3&gt;=$H14,AL$3&lt;=$I14),1,"")</f>
        <v/>
      </c>
      <c r="AM14" s="15" t="str">
        <f aca="false">IF(AND(AM$3&gt;=$H14,AM$3&lt;=$I14),1,"")</f>
        <v/>
      </c>
      <c r="AN14" s="15" t="str">
        <f aca="false">IF(AND(AN$3&gt;=$H14,AN$3&lt;=$I14),1,"")</f>
        <v/>
      </c>
      <c r="AO14" s="15" t="str">
        <f aca="false">IF(AND(AO$3&gt;=$H14,AO$3&lt;=$I14),1,"")</f>
        <v/>
      </c>
      <c r="AP14" s="15" t="str">
        <f aca="false">IF(AND(AP$3&gt;=$H14,AP$3&lt;=$I14),1,"")</f>
        <v/>
      </c>
      <c r="AQ14" s="15" t="str">
        <f aca="false">IF(AND(AQ$3&gt;=$H14,AQ$3&lt;=$I14),1,"")</f>
        <v/>
      </c>
      <c r="AR14" s="15" t="str">
        <f aca="false">IF(AND(AR$3&gt;=$H14,AR$3&lt;=$I14),1,"")</f>
        <v/>
      </c>
    </row>
    <row r="15" customFormat="false" ht="15" hidden="false" customHeight="false" outlineLevel="0" collapsed="false">
      <c r="A15" s="10" t="s">
        <v>51</v>
      </c>
      <c r="B15" s="10" t="s">
        <v>67</v>
      </c>
      <c r="C15" s="10" t="s">
        <v>68</v>
      </c>
      <c r="D15" s="10"/>
      <c r="E15" s="11" t="n">
        <v>0</v>
      </c>
      <c r="F15" s="11" t="n">
        <v>1</v>
      </c>
      <c r="G15" s="10" t="s">
        <v>44</v>
      </c>
      <c r="H15" s="12" t="n">
        <v>4</v>
      </c>
      <c r="I15" s="12" t="n">
        <v>6</v>
      </c>
      <c r="J15" s="13" t="n">
        <f aca="false">INDEX(Calendario!$B$2:$B$31,MATCH(H15,Calendario!$A$2:$A$31,0))</f>
        <v>46326</v>
      </c>
      <c r="K15" s="13" t="n">
        <f aca="false">INDEX(Calendario!$B$2:$B$31,MATCH(I15,Calendario!$A$2:$A$31,0))</f>
        <v>46328</v>
      </c>
      <c r="L15" s="14" t="s">
        <v>38</v>
      </c>
      <c r="M15" s="13"/>
      <c r="N15" s="13"/>
      <c r="O15" s="15" t="str">
        <f aca="false">IF(AND(O$3&gt;=$H15,O$3&lt;=$I15),1,"")</f>
        <v/>
      </c>
      <c r="P15" s="15" t="str">
        <f aca="false">IF(AND(P$3&gt;=$H15,P$3&lt;=$I15),1,"")</f>
        <v/>
      </c>
      <c r="Q15" s="15" t="str">
        <f aca="false">IF(AND(Q$3&gt;=$H15,Q$3&lt;=$I15),1,"")</f>
        <v/>
      </c>
      <c r="R15" s="15" t="n">
        <f aca="false">IF(AND(R$3&gt;=$H15,R$3&lt;=$I15),1,"")</f>
        <v>1</v>
      </c>
      <c r="S15" s="15" t="n">
        <f aca="false">IF(AND(S$3&gt;=$H15,S$3&lt;=$I15),1,"")</f>
        <v>1</v>
      </c>
      <c r="T15" s="15" t="n">
        <f aca="false">IF(AND(T$3&gt;=$H15,T$3&lt;=$I15),1,"")</f>
        <v>1</v>
      </c>
      <c r="U15" s="15" t="str">
        <f aca="false">IF(AND(U$3&gt;=$H15,U$3&lt;=$I15),1,"")</f>
        <v/>
      </c>
      <c r="V15" s="15" t="str">
        <f aca="false">IF(AND(V$3&gt;=$H15,V$3&lt;=$I15),1,"")</f>
        <v/>
      </c>
      <c r="W15" s="15" t="str">
        <f aca="false">IF(AND(W$3&gt;=$H15,W$3&lt;=$I15),1,"")</f>
        <v/>
      </c>
      <c r="X15" s="15" t="str">
        <f aca="false">IF(AND(X$3&gt;=$H15,X$3&lt;=$I15),1,"")</f>
        <v/>
      </c>
      <c r="Y15" s="15" t="str">
        <f aca="false">IF(AND(Y$3&gt;=$H15,Y$3&lt;=$I15),1,"")</f>
        <v/>
      </c>
      <c r="Z15" s="15" t="str">
        <f aca="false">IF(AND(Z$3&gt;=$H15,Z$3&lt;=$I15),1,"")</f>
        <v/>
      </c>
      <c r="AA15" s="15" t="str">
        <f aca="false">IF(AND(AA$3&gt;=$H15,AA$3&lt;=$I15),1,"")</f>
        <v/>
      </c>
      <c r="AB15" s="15" t="str">
        <f aca="false">IF(AND(AB$3&gt;=$H15,AB$3&lt;=$I15),1,"")</f>
        <v/>
      </c>
      <c r="AC15" s="15" t="str">
        <f aca="false">IF(AND(AC$3&gt;=$H15,AC$3&lt;=$I15),1,"")</f>
        <v/>
      </c>
      <c r="AD15" s="15" t="str">
        <f aca="false">IF(AND(AD$3&gt;=$H15,AD$3&lt;=$I15),1,"")</f>
        <v/>
      </c>
      <c r="AE15" s="15" t="str">
        <f aca="false">IF(AND(AE$3&gt;=$H15,AE$3&lt;=$I15),1,"")</f>
        <v/>
      </c>
      <c r="AF15" s="15" t="str">
        <f aca="false">IF(AND(AF$3&gt;=$H15,AF$3&lt;=$I15),1,"")</f>
        <v/>
      </c>
      <c r="AG15" s="15" t="str">
        <f aca="false">IF(AND(AG$3&gt;=$H15,AG$3&lt;=$I15),1,"")</f>
        <v/>
      </c>
      <c r="AH15" s="15" t="str">
        <f aca="false">IF(AND(AH$3&gt;=$H15,AH$3&lt;=$I15),1,"")</f>
        <v/>
      </c>
      <c r="AI15" s="15" t="str">
        <f aca="false">IF(AND(AI$3&gt;=$H15,AI$3&lt;=$I15),1,"")</f>
        <v/>
      </c>
      <c r="AJ15" s="15" t="str">
        <f aca="false">IF(AND(AJ$3&gt;=$H15,AJ$3&lt;=$I15),1,"")</f>
        <v/>
      </c>
      <c r="AK15" s="15" t="str">
        <f aca="false">IF(AND(AK$3&gt;=$H15,AK$3&lt;=$I15),1,"")</f>
        <v/>
      </c>
      <c r="AL15" s="15" t="str">
        <f aca="false">IF(AND(AL$3&gt;=$H15,AL$3&lt;=$I15),1,"")</f>
        <v/>
      </c>
      <c r="AM15" s="15" t="str">
        <f aca="false">IF(AND(AM$3&gt;=$H15,AM$3&lt;=$I15),1,"")</f>
        <v/>
      </c>
      <c r="AN15" s="15" t="str">
        <f aca="false">IF(AND(AN$3&gt;=$H15,AN$3&lt;=$I15),1,"")</f>
        <v/>
      </c>
      <c r="AO15" s="15" t="str">
        <f aca="false">IF(AND(AO$3&gt;=$H15,AO$3&lt;=$I15),1,"")</f>
        <v/>
      </c>
      <c r="AP15" s="15" t="str">
        <f aca="false">IF(AND(AP$3&gt;=$H15,AP$3&lt;=$I15),1,"")</f>
        <v/>
      </c>
      <c r="AQ15" s="15" t="str">
        <f aca="false">IF(AND(AQ$3&gt;=$H15,AQ$3&lt;=$I15),1,"")</f>
        <v/>
      </c>
      <c r="AR15" s="15" t="str">
        <f aca="false">IF(AND(AR$3&gt;=$H15,AR$3&lt;=$I15),1,"")</f>
        <v/>
      </c>
    </row>
    <row r="16" customFormat="false" ht="15" hidden="false" customHeight="false" outlineLevel="0" collapsed="false">
      <c r="A16" s="10" t="s">
        <v>51</v>
      </c>
      <c r="B16" s="10" t="s">
        <v>69</v>
      </c>
      <c r="C16" s="10" t="s">
        <v>70</v>
      </c>
      <c r="D16" s="10"/>
      <c r="E16" s="11" t="n">
        <v>0.5</v>
      </c>
      <c r="F16" s="11" t="n">
        <v>0</v>
      </c>
      <c r="G16" s="10" t="s">
        <v>41</v>
      </c>
      <c r="H16" s="12" t="n">
        <v>6</v>
      </c>
      <c r="I16" s="12" t="n">
        <v>6</v>
      </c>
      <c r="J16" s="13" t="n">
        <f aca="false">INDEX(Calendario!$B$2:$B$31,MATCH(H16,Calendario!$A$2:$A$31,0))</f>
        <v>46328</v>
      </c>
      <c r="K16" s="13" t="n">
        <f aca="false">INDEX(Calendario!$B$2:$B$31,MATCH(I16,Calendario!$A$2:$A$31,0))</f>
        <v>46328</v>
      </c>
      <c r="L16" s="14" t="s">
        <v>38</v>
      </c>
      <c r="M16" s="13"/>
      <c r="N16" s="13"/>
      <c r="O16" s="15" t="str">
        <f aca="false">IF(AND(O$3&gt;=$H16,O$3&lt;=$I16),1,"")</f>
        <v/>
      </c>
      <c r="P16" s="15" t="str">
        <f aca="false">IF(AND(P$3&gt;=$H16,P$3&lt;=$I16),1,"")</f>
        <v/>
      </c>
      <c r="Q16" s="15" t="str">
        <f aca="false">IF(AND(Q$3&gt;=$H16,Q$3&lt;=$I16),1,"")</f>
        <v/>
      </c>
      <c r="R16" s="15" t="str">
        <f aca="false">IF(AND(R$3&gt;=$H16,R$3&lt;=$I16),1,"")</f>
        <v/>
      </c>
      <c r="S16" s="15" t="str">
        <f aca="false">IF(AND(S$3&gt;=$H16,S$3&lt;=$I16),1,"")</f>
        <v/>
      </c>
      <c r="T16" s="15" t="n">
        <f aca="false">IF(AND(T$3&gt;=$H16,T$3&lt;=$I16),1,"")</f>
        <v>1</v>
      </c>
      <c r="U16" s="15" t="str">
        <f aca="false">IF(AND(U$3&gt;=$H16,U$3&lt;=$I16),1,"")</f>
        <v/>
      </c>
      <c r="V16" s="15" t="str">
        <f aca="false">IF(AND(V$3&gt;=$H16,V$3&lt;=$I16),1,"")</f>
        <v/>
      </c>
      <c r="W16" s="15" t="str">
        <f aca="false">IF(AND(W$3&gt;=$H16,W$3&lt;=$I16),1,"")</f>
        <v/>
      </c>
      <c r="X16" s="15" t="str">
        <f aca="false">IF(AND(X$3&gt;=$H16,X$3&lt;=$I16),1,"")</f>
        <v/>
      </c>
      <c r="Y16" s="15" t="str">
        <f aca="false">IF(AND(Y$3&gt;=$H16,Y$3&lt;=$I16),1,"")</f>
        <v/>
      </c>
      <c r="Z16" s="15" t="str">
        <f aca="false">IF(AND(Z$3&gt;=$H16,Z$3&lt;=$I16),1,"")</f>
        <v/>
      </c>
      <c r="AA16" s="15" t="str">
        <f aca="false">IF(AND(AA$3&gt;=$H16,AA$3&lt;=$I16),1,"")</f>
        <v/>
      </c>
      <c r="AB16" s="15" t="str">
        <f aca="false">IF(AND(AB$3&gt;=$H16,AB$3&lt;=$I16),1,"")</f>
        <v/>
      </c>
      <c r="AC16" s="15" t="str">
        <f aca="false">IF(AND(AC$3&gt;=$H16,AC$3&lt;=$I16),1,"")</f>
        <v/>
      </c>
      <c r="AD16" s="15" t="str">
        <f aca="false">IF(AND(AD$3&gt;=$H16,AD$3&lt;=$I16),1,"")</f>
        <v/>
      </c>
      <c r="AE16" s="15" t="str">
        <f aca="false">IF(AND(AE$3&gt;=$H16,AE$3&lt;=$I16),1,"")</f>
        <v/>
      </c>
      <c r="AF16" s="15" t="str">
        <f aca="false">IF(AND(AF$3&gt;=$H16,AF$3&lt;=$I16),1,"")</f>
        <v/>
      </c>
      <c r="AG16" s="15" t="str">
        <f aca="false">IF(AND(AG$3&gt;=$H16,AG$3&lt;=$I16),1,"")</f>
        <v/>
      </c>
      <c r="AH16" s="15" t="str">
        <f aca="false">IF(AND(AH$3&gt;=$H16,AH$3&lt;=$I16),1,"")</f>
        <v/>
      </c>
      <c r="AI16" s="15" t="str">
        <f aca="false">IF(AND(AI$3&gt;=$H16,AI$3&lt;=$I16),1,"")</f>
        <v/>
      </c>
      <c r="AJ16" s="15" t="str">
        <f aca="false">IF(AND(AJ$3&gt;=$H16,AJ$3&lt;=$I16),1,"")</f>
        <v/>
      </c>
      <c r="AK16" s="15" t="str">
        <f aca="false">IF(AND(AK$3&gt;=$H16,AK$3&lt;=$I16),1,"")</f>
        <v/>
      </c>
      <c r="AL16" s="15" t="str">
        <f aca="false">IF(AND(AL$3&gt;=$H16,AL$3&lt;=$I16),1,"")</f>
        <v/>
      </c>
      <c r="AM16" s="15" t="str">
        <f aca="false">IF(AND(AM$3&gt;=$H16,AM$3&lt;=$I16),1,"")</f>
        <v/>
      </c>
      <c r="AN16" s="15" t="str">
        <f aca="false">IF(AND(AN$3&gt;=$H16,AN$3&lt;=$I16),1,"")</f>
        <v/>
      </c>
      <c r="AO16" s="15" t="str">
        <f aca="false">IF(AND(AO$3&gt;=$H16,AO$3&lt;=$I16),1,"")</f>
        <v/>
      </c>
      <c r="AP16" s="15" t="str">
        <f aca="false">IF(AND(AP$3&gt;=$H16,AP$3&lt;=$I16),1,"")</f>
        <v/>
      </c>
      <c r="AQ16" s="15" t="str">
        <f aca="false">IF(AND(AQ$3&gt;=$H16,AQ$3&lt;=$I16),1,"")</f>
        <v/>
      </c>
      <c r="AR16" s="15" t="str">
        <f aca="false">IF(AND(AR$3&gt;=$H16,AR$3&lt;=$I16),1,"")</f>
        <v/>
      </c>
    </row>
    <row r="17" customFormat="false" ht="15" hidden="false" customHeight="false" outlineLevel="0" collapsed="false">
      <c r="A17" s="10" t="s">
        <v>51</v>
      </c>
      <c r="B17" s="10" t="s">
        <v>71</v>
      </c>
      <c r="C17" s="10" t="s">
        <v>72</v>
      </c>
      <c r="D17" s="10"/>
      <c r="E17" s="11" t="n">
        <v>0</v>
      </c>
      <c r="F17" s="11" t="n">
        <v>0.5</v>
      </c>
      <c r="G17" s="10" t="s">
        <v>44</v>
      </c>
      <c r="H17" s="12" t="n">
        <v>6</v>
      </c>
      <c r="I17" s="12" t="n">
        <v>6</v>
      </c>
      <c r="J17" s="13" t="n">
        <f aca="false">INDEX(Calendario!$B$2:$B$31,MATCH(H17,Calendario!$A$2:$A$31,0))</f>
        <v>46328</v>
      </c>
      <c r="K17" s="13" t="n">
        <f aca="false">INDEX(Calendario!$B$2:$B$31,MATCH(I17,Calendario!$A$2:$A$31,0))</f>
        <v>46328</v>
      </c>
      <c r="L17" s="14" t="s">
        <v>38</v>
      </c>
      <c r="M17" s="13"/>
      <c r="N17" s="13"/>
      <c r="O17" s="15" t="str">
        <f aca="false">IF(AND(O$3&gt;=$H17,O$3&lt;=$I17),1,"")</f>
        <v/>
      </c>
      <c r="P17" s="15" t="str">
        <f aca="false">IF(AND(P$3&gt;=$H17,P$3&lt;=$I17),1,"")</f>
        <v/>
      </c>
      <c r="Q17" s="15" t="str">
        <f aca="false">IF(AND(Q$3&gt;=$H17,Q$3&lt;=$I17),1,"")</f>
        <v/>
      </c>
      <c r="R17" s="15" t="str">
        <f aca="false">IF(AND(R$3&gt;=$H17,R$3&lt;=$I17),1,"")</f>
        <v/>
      </c>
      <c r="S17" s="15" t="str">
        <f aca="false">IF(AND(S$3&gt;=$H17,S$3&lt;=$I17),1,"")</f>
        <v/>
      </c>
      <c r="T17" s="15" t="n">
        <f aca="false">IF(AND(T$3&gt;=$H17,T$3&lt;=$I17),1,"")</f>
        <v>1</v>
      </c>
      <c r="U17" s="15" t="str">
        <f aca="false">IF(AND(U$3&gt;=$H17,U$3&lt;=$I17),1,"")</f>
        <v/>
      </c>
      <c r="V17" s="15" t="str">
        <f aca="false">IF(AND(V$3&gt;=$H17,V$3&lt;=$I17),1,"")</f>
        <v/>
      </c>
      <c r="W17" s="15" t="str">
        <f aca="false">IF(AND(W$3&gt;=$H17,W$3&lt;=$I17),1,"")</f>
        <v/>
      </c>
      <c r="X17" s="15" t="str">
        <f aca="false">IF(AND(X$3&gt;=$H17,X$3&lt;=$I17),1,"")</f>
        <v/>
      </c>
      <c r="Y17" s="15" t="str">
        <f aca="false">IF(AND(Y$3&gt;=$H17,Y$3&lt;=$I17),1,"")</f>
        <v/>
      </c>
      <c r="Z17" s="15" t="str">
        <f aca="false">IF(AND(Z$3&gt;=$H17,Z$3&lt;=$I17),1,"")</f>
        <v/>
      </c>
      <c r="AA17" s="15" t="str">
        <f aca="false">IF(AND(AA$3&gt;=$H17,AA$3&lt;=$I17),1,"")</f>
        <v/>
      </c>
      <c r="AB17" s="15" t="str">
        <f aca="false">IF(AND(AB$3&gt;=$H17,AB$3&lt;=$I17),1,"")</f>
        <v/>
      </c>
      <c r="AC17" s="15" t="str">
        <f aca="false">IF(AND(AC$3&gt;=$H17,AC$3&lt;=$I17),1,"")</f>
        <v/>
      </c>
      <c r="AD17" s="15" t="str">
        <f aca="false">IF(AND(AD$3&gt;=$H17,AD$3&lt;=$I17),1,"")</f>
        <v/>
      </c>
      <c r="AE17" s="15" t="str">
        <f aca="false">IF(AND(AE$3&gt;=$H17,AE$3&lt;=$I17),1,"")</f>
        <v/>
      </c>
      <c r="AF17" s="15" t="str">
        <f aca="false">IF(AND(AF$3&gt;=$H17,AF$3&lt;=$I17),1,"")</f>
        <v/>
      </c>
      <c r="AG17" s="15" t="str">
        <f aca="false">IF(AND(AG$3&gt;=$H17,AG$3&lt;=$I17),1,"")</f>
        <v/>
      </c>
      <c r="AH17" s="15" t="str">
        <f aca="false">IF(AND(AH$3&gt;=$H17,AH$3&lt;=$I17),1,"")</f>
        <v/>
      </c>
      <c r="AI17" s="15" t="str">
        <f aca="false">IF(AND(AI$3&gt;=$H17,AI$3&lt;=$I17),1,"")</f>
        <v/>
      </c>
      <c r="AJ17" s="15" t="str">
        <f aca="false">IF(AND(AJ$3&gt;=$H17,AJ$3&lt;=$I17),1,"")</f>
        <v/>
      </c>
      <c r="AK17" s="15" t="str">
        <f aca="false">IF(AND(AK$3&gt;=$H17,AK$3&lt;=$I17),1,"")</f>
        <v/>
      </c>
      <c r="AL17" s="15" t="str">
        <f aca="false">IF(AND(AL$3&gt;=$H17,AL$3&lt;=$I17),1,"")</f>
        <v/>
      </c>
      <c r="AM17" s="15" t="str">
        <f aca="false">IF(AND(AM$3&gt;=$H17,AM$3&lt;=$I17),1,"")</f>
        <v/>
      </c>
      <c r="AN17" s="15" t="str">
        <f aca="false">IF(AND(AN$3&gt;=$H17,AN$3&lt;=$I17),1,"")</f>
        <v/>
      </c>
      <c r="AO17" s="15" t="str">
        <f aca="false">IF(AND(AO$3&gt;=$H17,AO$3&lt;=$I17),1,"")</f>
        <v/>
      </c>
      <c r="AP17" s="15" t="str">
        <f aca="false">IF(AND(AP$3&gt;=$H17,AP$3&lt;=$I17),1,"")</f>
        <v/>
      </c>
      <c r="AQ17" s="15" t="str">
        <f aca="false">IF(AND(AQ$3&gt;=$H17,AQ$3&lt;=$I17),1,"")</f>
        <v/>
      </c>
      <c r="AR17" s="15" t="str">
        <f aca="false">IF(AND(AR$3&gt;=$H17,AR$3&lt;=$I17),1,"")</f>
        <v/>
      </c>
    </row>
    <row r="18" customFormat="false" ht="15" hidden="false" customHeight="false" outlineLevel="0" collapsed="false">
      <c r="A18" s="10" t="s">
        <v>51</v>
      </c>
      <c r="B18" s="10" t="s">
        <v>73</v>
      </c>
      <c r="C18" s="10" t="s">
        <v>74</v>
      </c>
      <c r="D18" s="10"/>
      <c r="E18" s="11" t="n">
        <v>1</v>
      </c>
      <c r="F18" s="11" t="n">
        <v>0</v>
      </c>
      <c r="G18" s="10" t="s">
        <v>41</v>
      </c>
      <c r="H18" s="12" t="n">
        <v>7</v>
      </c>
      <c r="I18" s="12" t="n">
        <v>7</v>
      </c>
      <c r="J18" s="13" t="n">
        <f aca="false">INDEX(Calendario!$B$2:$B$31,MATCH(H18,Calendario!$A$2:$A$31,0))</f>
        <v>46329</v>
      </c>
      <c r="K18" s="13" t="n">
        <f aca="false">INDEX(Calendario!$B$2:$B$31,MATCH(I18,Calendario!$A$2:$A$31,0))</f>
        <v>46329</v>
      </c>
      <c r="L18" s="14" t="s">
        <v>38</v>
      </c>
      <c r="M18" s="13"/>
      <c r="N18" s="13"/>
      <c r="O18" s="15" t="str">
        <f aca="false">IF(AND(O$3&gt;=$H18,O$3&lt;=$I18),1,"")</f>
        <v/>
      </c>
      <c r="P18" s="15" t="str">
        <f aca="false">IF(AND(P$3&gt;=$H18,P$3&lt;=$I18),1,"")</f>
        <v/>
      </c>
      <c r="Q18" s="15" t="str">
        <f aca="false">IF(AND(Q$3&gt;=$H18,Q$3&lt;=$I18),1,"")</f>
        <v/>
      </c>
      <c r="R18" s="15" t="str">
        <f aca="false">IF(AND(R$3&gt;=$H18,R$3&lt;=$I18),1,"")</f>
        <v/>
      </c>
      <c r="S18" s="15" t="str">
        <f aca="false">IF(AND(S$3&gt;=$H18,S$3&lt;=$I18),1,"")</f>
        <v/>
      </c>
      <c r="T18" s="15" t="str">
        <f aca="false">IF(AND(T$3&gt;=$H18,T$3&lt;=$I18),1,"")</f>
        <v/>
      </c>
      <c r="U18" s="15" t="n">
        <f aca="false">IF(AND(U$3&gt;=$H18,U$3&lt;=$I18),1,"")</f>
        <v>1</v>
      </c>
      <c r="V18" s="15" t="str">
        <f aca="false">IF(AND(V$3&gt;=$H18,V$3&lt;=$I18),1,"")</f>
        <v/>
      </c>
      <c r="W18" s="15" t="str">
        <f aca="false">IF(AND(W$3&gt;=$H18,W$3&lt;=$I18),1,"")</f>
        <v/>
      </c>
      <c r="X18" s="15" t="str">
        <f aca="false">IF(AND(X$3&gt;=$H18,X$3&lt;=$I18),1,"")</f>
        <v/>
      </c>
      <c r="Y18" s="15" t="str">
        <f aca="false">IF(AND(Y$3&gt;=$H18,Y$3&lt;=$I18),1,"")</f>
        <v/>
      </c>
      <c r="Z18" s="15" t="str">
        <f aca="false">IF(AND(Z$3&gt;=$H18,Z$3&lt;=$I18),1,"")</f>
        <v/>
      </c>
      <c r="AA18" s="15" t="str">
        <f aca="false">IF(AND(AA$3&gt;=$H18,AA$3&lt;=$I18),1,"")</f>
        <v/>
      </c>
      <c r="AB18" s="15" t="str">
        <f aca="false">IF(AND(AB$3&gt;=$H18,AB$3&lt;=$I18),1,"")</f>
        <v/>
      </c>
      <c r="AC18" s="15" t="str">
        <f aca="false">IF(AND(AC$3&gt;=$H18,AC$3&lt;=$I18),1,"")</f>
        <v/>
      </c>
      <c r="AD18" s="15" t="str">
        <f aca="false">IF(AND(AD$3&gt;=$H18,AD$3&lt;=$I18),1,"")</f>
        <v/>
      </c>
      <c r="AE18" s="15" t="str">
        <f aca="false">IF(AND(AE$3&gt;=$H18,AE$3&lt;=$I18),1,"")</f>
        <v/>
      </c>
      <c r="AF18" s="15" t="str">
        <f aca="false">IF(AND(AF$3&gt;=$H18,AF$3&lt;=$I18),1,"")</f>
        <v/>
      </c>
      <c r="AG18" s="15" t="str">
        <f aca="false">IF(AND(AG$3&gt;=$H18,AG$3&lt;=$I18),1,"")</f>
        <v/>
      </c>
      <c r="AH18" s="15" t="str">
        <f aca="false">IF(AND(AH$3&gt;=$H18,AH$3&lt;=$I18),1,"")</f>
        <v/>
      </c>
      <c r="AI18" s="15" t="str">
        <f aca="false">IF(AND(AI$3&gt;=$H18,AI$3&lt;=$I18),1,"")</f>
        <v/>
      </c>
      <c r="AJ18" s="15" t="str">
        <f aca="false">IF(AND(AJ$3&gt;=$H18,AJ$3&lt;=$I18),1,"")</f>
        <v/>
      </c>
      <c r="AK18" s="15" t="str">
        <f aca="false">IF(AND(AK$3&gt;=$H18,AK$3&lt;=$I18),1,"")</f>
        <v/>
      </c>
      <c r="AL18" s="15" t="str">
        <f aca="false">IF(AND(AL$3&gt;=$H18,AL$3&lt;=$I18),1,"")</f>
        <v/>
      </c>
      <c r="AM18" s="15" t="str">
        <f aca="false">IF(AND(AM$3&gt;=$H18,AM$3&lt;=$I18),1,"")</f>
        <v/>
      </c>
      <c r="AN18" s="15" t="str">
        <f aca="false">IF(AND(AN$3&gt;=$H18,AN$3&lt;=$I18),1,"")</f>
        <v/>
      </c>
      <c r="AO18" s="15" t="str">
        <f aca="false">IF(AND(AO$3&gt;=$H18,AO$3&lt;=$I18),1,"")</f>
        <v/>
      </c>
      <c r="AP18" s="15" t="str">
        <f aca="false">IF(AND(AP$3&gt;=$H18,AP$3&lt;=$I18),1,"")</f>
        <v/>
      </c>
      <c r="AQ18" s="15" t="str">
        <f aca="false">IF(AND(AQ$3&gt;=$H18,AQ$3&lt;=$I18),1,"")</f>
        <v/>
      </c>
      <c r="AR18" s="15" t="str">
        <f aca="false">IF(AND(AR$3&gt;=$H18,AR$3&lt;=$I18),1,"")</f>
        <v/>
      </c>
    </row>
    <row r="19" customFormat="false" ht="15" hidden="false" customHeight="false" outlineLevel="0" collapsed="false">
      <c r="A19" s="10" t="s">
        <v>51</v>
      </c>
      <c r="B19" s="10" t="s">
        <v>75</v>
      </c>
      <c r="C19" s="10" t="s">
        <v>76</v>
      </c>
      <c r="D19" s="10"/>
      <c r="E19" s="11" t="n">
        <v>0</v>
      </c>
      <c r="F19" s="11" t="n">
        <v>0.5</v>
      </c>
      <c r="G19" s="10" t="s">
        <v>44</v>
      </c>
      <c r="H19" s="12" t="n">
        <v>7</v>
      </c>
      <c r="I19" s="12" t="n">
        <v>7</v>
      </c>
      <c r="J19" s="13" t="n">
        <f aca="false">INDEX(Calendario!$B$2:$B$31,MATCH(H19,Calendario!$A$2:$A$31,0))</f>
        <v>46329</v>
      </c>
      <c r="K19" s="13" t="n">
        <f aca="false">INDEX(Calendario!$B$2:$B$31,MATCH(I19,Calendario!$A$2:$A$31,0))</f>
        <v>46329</v>
      </c>
      <c r="L19" s="14" t="s">
        <v>38</v>
      </c>
      <c r="M19" s="13"/>
      <c r="N19" s="13"/>
      <c r="O19" s="15" t="str">
        <f aca="false">IF(AND(O$3&gt;=$H19,O$3&lt;=$I19),1,"")</f>
        <v/>
      </c>
      <c r="P19" s="15" t="str">
        <f aca="false">IF(AND(P$3&gt;=$H19,P$3&lt;=$I19),1,"")</f>
        <v/>
      </c>
      <c r="Q19" s="15" t="str">
        <f aca="false">IF(AND(Q$3&gt;=$H19,Q$3&lt;=$I19),1,"")</f>
        <v/>
      </c>
      <c r="R19" s="15" t="str">
        <f aca="false">IF(AND(R$3&gt;=$H19,R$3&lt;=$I19),1,"")</f>
        <v/>
      </c>
      <c r="S19" s="15" t="str">
        <f aca="false">IF(AND(S$3&gt;=$H19,S$3&lt;=$I19),1,"")</f>
        <v/>
      </c>
      <c r="T19" s="15" t="str">
        <f aca="false">IF(AND(T$3&gt;=$H19,T$3&lt;=$I19),1,"")</f>
        <v/>
      </c>
      <c r="U19" s="15" t="n">
        <f aca="false">IF(AND(U$3&gt;=$H19,U$3&lt;=$I19),1,"")</f>
        <v>1</v>
      </c>
      <c r="V19" s="15" t="str">
        <f aca="false">IF(AND(V$3&gt;=$H19,V$3&lt;=$I19),1,"")</f>
        <v/>
      </c>
      <c r="W19" s="15" t="str">
        <f aca="false">IF(AND(W$3&gt;=$H19,W$3&lt;=$I19),1,"")</f>
        <v/>
      </c>
      <c r="X19" s="15" t="str">
        <f aca="false">IF(AND(X$3&gt;=$H19,X$3&lt;=$I19),1,"")</f>
        <v/>
      </c>
      <c r="Y19" s="15" t="str">
        <f aca="false">IF(AND(Y$3&gt;=$H19,Y$3&lt;=$I19),1,"")</f>
        <v/>
      </c>
      <c r="Z19" s="15" t="str">
        <f aca="false">IF(AND(Z$3&gt;=$H19,Z$3&lt;=$I19),1,"")</f>
        <v/>
      </c>
      <c r="AA19" s="15" t="str">
        <f aca="false">IF(AND(AA$3&gt;=$H19,AA$3&lt;=$I19),1,"")</f>
        <v/>
      </c>
      <c r="AB19" s="15" t="str">
        <f aca="false">IF(AND(AB$3&gt;=$H19,AB$3&lt;=$I19),1,"")</f>
        <v/>
      </c>
      <c r="AC19" s="15" t="str">
        <f aca="false">IF(AND(AC$3&gt;=$H19,AC$3&lt;=$I19),1,"")</f>
        <v/>
      </c>
      <c r="AD19" s="15" t="str">
        <f aca="false">IF(AND(AD$3&gt;=$H19,AD$3&lt;=$I19),1,"")</f>
        <v/>
      </c>
      <c r="AE19" s="15" t="str">
        <f aca="false">IF(AND(AE$3&gt;=$H19,AE$3&lt;=$I19),1,"")</f>
        <v/>
      </c>
      <c r="AF19" s="15" t="str">
        <f aca="false">IF(AND(AF$3&gt;=$H19,AF$3&lt;=$I19),1,"")</f>
        <v/>
      </c>
      <c r="AG19" s="15" t="str">
        <f aca="false">IF(AND(AG$3&gt;=$H19,AG$3&lt;=$I19),1,"")</f>
        <v/>
      </c>
      <c r="AH19" s="15" t="str">
        <f aca="false">IF(AND(AH$3&gt;=$H19,AH$3&lt;=$I19),1,"")</f>
        <v/>
      </c>
      <c r="AI19" s="15" t="str">
        <f aca="false">IF(AND(AI$3&gt;=$H19,AI$3&lt;=$I19),1,"")</f>
        <v/>
      </c>
      <c r="AJ19" s="15" t="str">
        <f aca="false">IF(AND(AJ$3&gt;=$H19,AJ$3&lt;=$I19),1,"")</f>
        <v/>
      </c>
      <c r="AK19" s="15" t="str">
        <f aca="false">IF(AND(AK$3&gt;=$H19,AK$3&lt;=$I19),1,"")</f>
        <v/>
      </c>
      <c r="AL19" s="15" t="str">
        <f aca="false">IF(AND(AL$3&gt;=$H19,AL$3&lt;=$I19),1,"")</f>
        <v/>
      </c>
      <c r="AM19" s="15" t="str">
        <f aca="false">IF(AND(AM$3&gt;=$H19,AM$3&lt;=$I19),1,"")</f>
        <v/>
      </c>
      <c r="AN19" s="15" t="str">
        <f aca="false">IF(AND(AN$3&gt;=$H19,AN$3&lt;=$I19),1,"")</f>
        <v/>
      </c>
      <c r="AO19" s="15" t="str">
        <f aca="false">IF(AND(AO$3&gt;=$H19,AO$3&lt;=$I19),1,"")</f>
        <v/>
      </c>
      <c r="AP19" s="15" t="str">
        <f aca="false">IF(AND(AP$3&gt;=$H19,AP$3&lt;=$I19),1,"")</f>
        <v/>
      </c>
      <c r="AQ19" s="15" t="str">
        <f aca="false">IF(AND(AQ$3&gt;=$H19,AQ$3&lt;=$I19),1,"")</f>
        <v/>
      </c>
      <c r="AR19" s="15" t="str">
        <f aca="false">IF(AND(AR$3&gt;=$H19,AR$3&lt;=$I19),1,"")</f>
        <v/>
      </c>
    </row>
    <row r="20" customFormat="false" ht="15" hidden="false" customHeight="false" outlineLevel="0" collapsed="false">
      <c r="A20" s="10" t="s">
        <v>51</v>
      </c>
      <c r="B20" s="10" t="s">
        <v>77</v>
      </c>
      <c r="C20" s="10" t="s">
        <v>78</v>
      </c>
      <c r="D20" s="10" t="s">
        <v>79</v>
      </c>
      <c r="E20" s="11" t="n">
        <v>0</v>
      </c>
      <c r="F20" s="11" t="n">
        <v>0.5</v>
      </c>
      <c r="G20" s="10" t="s">
        <v>44</v>
      </c>
      <c r="H20" s="12" t="n">
        <v>7</v>
      </c>
      <c r="I20" s="12" t="n">
        <v>7</v>
      </c>
      <c r="J20" s="13" t="n">
        <f aca="false">INDEX(Calendario!$B$2:$B$31,MATCH(H20,Calendario!$A$2:$A$31,0))</f>
        <v>46329</v>
      </c>
      <c r="K20" s="13" t="n">
        <f aca="false">INDEX(Calendario!$B$2:$B$31,MATCH(I20,Calendario!$A$2:$A$31,0))</f>
        <v>46329</v>
      </c>
      <c r="L20" s="14" t="s">
        <v>38</v>
      </c>
      <c r="M20" s="13"/>
      <c r="N20" s="13"/>
      <c r="O20" s="15" t="str">
        <f aca="false">IF(AND(O$3&gt;=$H20,O$3&lt;=$I20),1,"")</f>
        <v/>
      </c>
      <c r="P20" s="15" t="str">
        <f aca="false">IF(AND(P$3&gt;=$H20,P$3&lt;=$I20),1,"")</f>
        <v/>
      </c>
      <c r="Q20" s="15" t="str">
        <f aca="false">IF(AND(Q$3&gt;=$H20,Q$3&lt;=$I20),1,"")</f>
        <v/>
      </c>
      <c r="R20" s="15" t="str">
        <f aca="false">IF(AND(R$3&gt;=$H20,R$3&lt;=$I20),1,"")</f>
        <v/>
      </c>
      <c r="S20" s="15" t="str">
        <f aca="false">IF(AND(S$3&gt;=$H20,S$3&lt;=$I20),1,"")</f>
        <v/>
      </c>
      <c r="T20" s="15" t="str">
        <f aca="false">IF(AND(T$3&gt;=$H20,T$3&lt;=$I20),1,"")</f>
        <v/>
      </c>
      <c r="U20" s="15" t="n">
        <f aca="false">IF(AND(U$3&gt;=$H20,U$3&lt;=$I20),1,"")</f>
        <v>1</v>
      </c>
      <c r="V20" s="15" t="str">
        <f aca="false">IF(AND(V$3&gt;=$H20,V$3&lt;=$I20),1,"")</f>
        <v/>
      </c>
      <c r="W20" s="15" t="str">
        <f aca="false">IF(AND(W$3&gt;=$H20,W$3&lt;=$I20),1,"")</f>
        <v/>
      </c>
      <c r="X20" s="15" t="str">
        <f aca="false">IF(AND(X$3&gt;=$H20,X$3&lt;=$I20),1,"")</f>
        <v/>
      </c>
      <c r="Y20" s="15" t="str">
        <f aca="false">IF(AND(Y$3&gt;=$H20,Y$3&lt;=$I20),1,"")</f>
        <v/>
      </c>
      <c r="Z20" s="15" t="str">
        <f aca="false">IF(AND(Z$3&gt;=$H20,Z$3&lt;=$I20),1,"")</f>
        <v/>
      </c>
      <c r="AA20" s="15" t="str">
        <f aca="false">IF(AND(AA$3&gt;=$H20,AA$3&lt;=$I20),1,"")</f>
        <v/>
      </c>
      <c r="AB20" s="15" t="str">
        <f aca="false">IF(AND(AB$3&gt;=$H20,AB$3&lt;=$I20),1,"")</f>
        <v/>
      </c>
      <c r="AC20" s="15" t="str">
        <f aca="false">IF(AND(AC$3&gt;=$H20,AC$3&lt;=$I20),1,"")</f>
        <v/>
      </c>
      <c r="AD20" s="15" t="str">
        <f aca="false">IF(AND(AD$3&gt;=$H20,AD$3&lt;=$I20),1,"")</f>
        <v/>
      </c>
      <c r="AE20" s="15" t="str">
        <f aca="false">IF(AND(AE$3&gt;=$H20,AE$3&lt;=$I20),1,"")</f>
        <v/>
      </c>
      <c r="AF20" s="15" t="str">
        <f aca="false">IF(AND(AF$3&gt;=$H20,AF$3&lt;=$I20),1,"")</f>
        <v/>
      </c>
      <c r="AG20" s="15" t="str">
        <f aca="false">IF(AND(AG$3&gt;=$H20,AG$3&lt;=$I20),1,"")</f>
        <v/>
      </c>
      <c r="AH20" s="15" t="str">
        <f aca="false">IF(AND(AH$3&gt;=$H20,AH$3&lt;=$I20),1,"")</f>
        <v/>
      </c>
      <c r="AI20" s="15" t="str">
        <f aca="false">IF(AND(AI$3&gt;=$H20,AI$3&lt;=$I20),1,"")</f>
        <v/>
      </c>
      <c r="AJ20" s="15" t="str">
        <f aca="false">IF(AND(AJ$3&gt;=$H20,AJ$3&lt;=$I20),1,"")</f>
        <v/>
      </c>
      <c r="AK20" s="15" t="str">
        <f aca="false">IF(AND(AK$3&gt;=$H20,AK$3&lt;=$I20),1,"")</f>
        <v/>
      </c>
      <c r="AL20" s="15" t="str">
        <f aca="false">IF(AND(AL$3&gt;=$H20,AL$3&lt;=$I20),1,"")</f>
        <v/>
      </c>
      <c r="AM20" s="15" t="str">
        <f aca="false">IF(AND(AM$3&gt;=$H20,AM$3&lt;=$I20),1,"")</f>
        <v/>
      </c>
      <c r="AN20" s="15" t="str">
        <f aca="false">IF(AND(AN$3&gt;=$H20,AN$3&lt;=$I20),1,"")</f>
        <v/>
      </c>
      <c r="AO20" s="15" t="str">
        <f aca="false">IF(AND(AO$3&gt;=$H20,AO$3&lt;=$I20),1,"")</f>
        <v/>
      </c>
      <c r="AP20" s="15" t="str">
        <f aca="false">IF(AND(AP$3&gt;=$H20,AP$3&lt;=$I20),1,"")</f>
        <v/>
      </c>
      <c r="AQ20" s="15" t="str">
        <f aca="false">IF(AND(AQ$3&gt;=$H20,AQ$3&lt;=$I20),1,"")</f>
        <v/>
      </c>
      <c r="AR20" s="15" t="str">
        <f aca="false">IF(AND(AR$3&gt;=$H20,AR$3&lt;=$I20),1,"")</f>
        <v/>
      </c>
    </row>
    <row r="21" customFormat="false" ht="15" hidden="false" customHeight="false" outlineLevel="0" collapsed="false">
      <c r="A21" s="10" t="s">
        <v>51</v>
      </c>
      <c r="B21" s="10" t="s">
        <v>80</v>
      </c>
      <c r="C21" s="10" t="s">
        <v>81</v>
      </c>
      <c r="D21" s="10"/>
      <c r="E21" s="11" t="n">
        <v>0.5</v>
      </c>
      <c r="F21" s="11" t="n">
        <v>0</v>
      </c>
      <c r="G21" s="10" t="s">
        <v>41</v>
      </c>
      <c r="H21" s="12" t="n">
        <v>8</v>
      </c>
      <c r="I21" s="12" t="n">
        <v>8</v>
      </c>
      <c r="J21" s="13" t="n">
        <f aca="false">INDEX(Calendario!$B$2:$B$31,MATCH(H21,Calendario!$A$2:$A$31,0))</f>
        <v>46330</v>
      </c>
      <c r="K21" s="13" t="n">
        <f aca="false">INDEX(Calendario!$B$2:$B$31,MATCH(I21,Calendario!$A$2:$A$31,0))</f>
        <v>46330</v>
      </c>
      <c r="L21" s="14" t="s">
        <v>38</v>
      </c>
      <c r="M21" s="13"/>
      <c r="N21" s="13"/>
      <c r="O21" s="15" t="str">
        <f aca="false">IF(AND(O$3&gt;=$H21,O$3&lt;=$I21),1,"")</f>
        <v/>
      </c>
      <c r="P21" s="15" t="str">
        <f aca="false">IF(AND(P$3&gt;=$H21,P$3&lt;=$I21),1,"")</f>
        <v/>
      </c>
      <c r="Q21" s="15" t="str">
        <f aca="false">IF(AND(Q$3&gt;=$H21,Q$3&lt;=$I21),1,"")</f>
        <v/>
      </c>
      <c r="R21" s="15" t="str">
        <f aca="false">IF(AND(R$3&gt;=$H21,R$3&lt;=$I21),1,"")</f>
        <v/>
      </c>
      <c r="S21" s="15" t="str">
        <f aca="false">IF(AND(S$3&gt;=$H21,S$3&lt;=$I21),1,"")</f>
        <v/>
      </c>
      <c r="T21" s="15" t="str">
        <f aca="false">IF(AND(T$3&gt;=$H21,T$3&lt;=$I21),1,"")</f>
        <v/>
      </c>
      <c r="U21" s="15" t="str">
        <f aca="false">IF(AND(U$3&gt;=$H21,U$3&lt;=$I21),1,"")</f>
        <v/>
      </c>
      <c r="V21" s="15" t="n">
        <f aca="false">IF(AND(V$3&gt;=$H21,V$3&lt;=$I21),1,"")</f>
        <v>1</v>
      </c>
      <c r="W21" s="15" t="str">
        <f aca="false">IF(AND(W$3&gt;=$H21,W$3&lt;=$I21),1,"")</f>
        <v/>
      </c>
      <c r="X21" s="15" t="str">
        <f aca="false">IF(AND(X$3&gt;=$H21,X$3&lt;=$I21),1,"")</f>
        <v/>
      </c>
      <c r="Y21" s="15" t="str">
        <f aca="false">IF(AND(Y$3&gt;=$H21,Y$3&lt;=$I21),1,"")</f>
        <v/>
      </c>
      <c r="Z21" s="15" t="str">
        <f aca="false">IF(AND(Z$3&gt;=$H21,Z$3&lt;=$I21),1,"")</f>
        <v/>
      </c>
      <c r="AA21" s="15" t="str">
        <f aca="false">IF(AND(AA$3&gt;=$H21,AA$3&lt;=$I21),1,"")</f>
        <v/>
      </c>
      <c r="AB21" s="15" t="str">
        <f aca="false">IF(AND(AB$3&gt;=$H21,AB$3&lt;=$I21),1,"")</f>
        <v/>
      </c>
      <c r="AC21" s="15" t="str">
        <f aca="false">IF(AND(AC$3&gt;=$H21,AC$3&lt;=$I21),1,"")</f>
        <v/>
      </c>
      <c r="AD21" s="15" t="str">
        <f aca="false">IF(AND(AD$3&gt;=$H21,AD$3&lt;=$I21),1,"")</f>
        <v/>
      </c>
      <c r="AE21" s="15" t="str">
        <f aca="false">IF(AND(AE$3&gt;=$H21,AE$3&lt;=$I21),1,"")</f>
        <v/>
      </c>
      <c r="AF21" s="15" t="str">
        <f aca="false">IF(AND(AF$3&gt;=$H21,AF$3&lt;=$I21),1,"")</f>
        <v/>
      </c>
      <c r="AG21" s="15" t="str">
        <f aca="false">IF(AND(AG$3&gt;=$H21,AG$3&lt;=$I21),1,"")</f>
        <v/>
      </c>
      <c r="AH21" s="15" t="str">
        <f aca="false">IF(AND(AH$3&gt;=$H21,AH$3&lt;=$I21),1,"")</f>
        <v/>
      </c>
      <c r="AI21" s="15" t="str">
        <f aca="false">IF(AND(AI$3&gt;=$H21,AI$3&lt;=$I21),1,"")</f>
        <v/>
      </c>
      <c r="AJ21" s="15" t="str">
        <f aca="false">IF(AND(AJ$3&gt;=$H21,AJ$3&lt;=$I21),1,"")</f>
        <v/>
      </c>
      <c r="AK21" s="15" t="str">
        <f aca="false">IF(AND(AK$3&gt;=$H21,AK$3&lt;=$I21),1,"")</f>
        <v/>
      </c>
      <c r="AL21" s="15" t="str">
        <f aca="false">IF(AND(AL$3&gt;=$H21,AL$3&lt;=$I21),1,"")</f>
        <v/>
      </c>
      <c r="AM21" s="15" t="str">
        <f aca="false">IF(AND(AM$3&gt;=$H21,AM$3&lt;=$I21),1,"")</f>
        <v/>
      </c>
      <c r="AN21" s="15" t="str">
        <f aca="false">IF(AND(AN$3&gt;=$H21,AN$3&lt;=$I21),1,"")</f>
        <v/>
      </c>
      <c r="AO21" s="15" t="str">
        <f aca="false">IF(AND(AO$3&gt;=$H21,AO$3&lt;=$I21),1,"")</f>
        <v/>
      </c>
      <c r="AP21" s="15" t="str">
        <f aca="false">IF(AND(AP$3&gt;=$H21,AP$3&lt;=$I21),1,"")</f>
        <v/>
      </c>
      <c r="AQ21" s="15" t="str">
        <f aca="false">IF(AND(AQ$3&gt;=$H21,AQ$3&lt;=$I21),1,"")</f>
        <v/>
      </c>
      <c r="AR21" s="15" t="str">
        <f aca="false">IF(AND(AR$3&gt;=$H21,AR$3&lt;=$I21),1,"")</f>
        <v/>
      </c>
    </row>
    <row r="22" customFormat="false" ht="15" hidden="false" customHeight="false" outlineLevel="0" collapsed="false">
      <c r="A22" s="10" t="s">
        <v>51</v>
      </c>
      <c r="B22" s="10" t="s">
        <v>82</v>
      </c>
      <c r="C22" s="10" t="s">
        <v>83</v>
      </c>
      <c r="D22" s="10"/>
      <c r="E22" s="11" t="n">
        <v>1</v>
      </c>
      <c r="F22" s="11" t="n">
        <v>0</v>
      </c>
      <c r="G22" s="10" t="s">
        <v>41</v>
      </c>
      <c r="H22" s="12" t="n">
        <v>8</v>
      </c>
      <c r="I22" s="12" t="n">
        <v>9</v>
      </c>
      <c r="J22" s="13" t="n">
        <f aca="false">INDEX(Calendario!$B$2:$B$31,MATCH(H22,Calendario!$A$2:$A$31,0))</f>
        <v>46330</v>
      </c>
      <c r="K22" s="13" t="n">
        <f aca="false">INDEX(Calendario!$B$2:$B$31,MATCH(I22,Calendario!$A$2:$A$31,0))</f>
        <v>46331</v>
      </c>
      <c r="L22" s="14" t="s">
        <v>38</v>
      </c>
      <c r="M22" s="13"/>
      <c r="N22" s="13"/>
      <c r="O22" s="15" t="str">
        <f aca="false">IF(AND(O$3&gt;=$H22,O$3&lt;=$I22),1,"")</f>
        <v/>
      </c>
      <c r="P22" s="15" t="str">
        <f aca="false">IF(AND(P$3&gt;=$H22,P$3&lt;=$I22),1,"")</f>
        <v/>
      </c>
      <c r="Q22" s="15" t="str">
        <f aca="false">IF(AND(Q$3&gt;=$H22,Q$3&lt;=$I22),1,"")</f>
        <v/>
      </c>
      <c r="R22" s="15" t="str">
        <f aca="false">IF(AND(R$3&gt;=$H22,R$3&lt;=$I22),1,"")</f>
        <v/>
      </c>
      <c r="S22" s="15" t="str">
        <f aca="false">IF(AND(S$3&gt;=$H22,S$3&lt;=$I22),1,"")</f>
        <v/>
      </c>
      <c r="T22" s="15" t="str">
        <f aca="false">IF(AND(T$3&gt;=$H22,T$3&lt;=$I22),1,"")</f>
        <v/>
      </c>
      <c r="U22" s="15" t="str">
        <f aca="false">IF(AND(U$3&gt;=$H22,U$3&lt;=$I22),1,"")</f>
        <v/>
      </c>
      <c r="V22" s="15" t="n">
        <f aca="false">IF(AND(V$3&gt;=$H22,V$3&lt;=$I22),1,"")</f>
        <v>1</v>
      </c>
      <c r="W22" s="15" t="n">
        <f aca="false">IF(AND(W$3&gt;=$H22,W$3&lt;=$I22),1,"")</f>
        <v>1</v>
      </c>
      <c r="X22" s="15" t="str">
        <f aca="false">IF(AND(X$3&gt;=$H22,X$3&lt;=$I22),1,"")</f>
        <v/>
      </c>
      <c r="Y22" s="15" t="str">
        <f aca="false">IF(AND(Y$3&gt;=$H22,Y$3&lt;=$I22),1,"")</f>
        <v/>
      </c>
      <c r="Z22" s="15" t="str">
        <f aca="false">IF(AND(Z$3&gt;=$H22,Z$3&lt;=$I22),1,"")</f>
        <v/>
      </c>
      <c r="AA22" s="15" t="str">
        <f aca="false">IF(AND(AA$3&gt;=$H22,AA$3&lt;=$I22),1,"")</f>
        <v/>
      </c>
      <c r="AB22" s="15" t="str">
        <f aca="false">IF(AND(AB$3&gt;=$H22,AB$3&lt;=$I22),1,"")</f>
        <v/>
      </c>
      <c r="AC22" s="15" t="str">
        <f aca="false">IF(AND(AC$3&gt;=$H22,AC$3&lt;=$I22),1,"")</f>
        <v/>
      </c>
      <c r="AD22" s="15" t="str">
        <f aca="false">IF(AND(AD$3&gt;=$H22,AD$3&lt;=$I22),1,"")</f>
        <v/>
      </c>
      <c r="AE22" s="15" t="str">
        <f aca="false">IF(AND(AE$3&gt;=$H22,AE$3&lt;=$I22),1,"")</f>
        <v/>
      </c>
      <c r="AF22" s="15" t="str">
        <f aca="false">IF(AND(AF$3&gt;=$H22,AF$3&lt;=$I22),1,"")</f>
        <v/>
      </c>
      <c r="AG22" s="15" t="str">
        <f aca="false">IF(AND(AG$3&gt;=$H22,AG$3&lt;=$I22),1,"")</f>
        <v/>
      </c>
      <c r="AH22" s="15" t="str">
        <f aca="false">IF(AND(AH$3&gt;=$H22,AH$3&lt;=$I22),1,"")</f>
        <v/>
      </c>
      <c r="AI22" s="15" t="str">
        <f aca="false">IF(AND(AI$3&gt;=$H22,AI$3&lt;=$I22),1,"")</f>
        <v/>
      </c>
      <c r="AJ22" s="15" t="str">
        <f aca="false">IF(AND(AJ$3&gt;=$H22,AJ$3&lt;=$I22),1,"")</f>
        <v/>
      </c>
      <c r="AK22" s="15" t="str">
        <f aca="false">IF(AND(AK$3&gt;=$H22,AK$3&lt;=$I22),1,"")</f>
        <v/>
      </c>
      <c r="AL22" s="15" t="str">
        <f aca="false">IF(AND(AL$3&gt;=$H22,AL$3&lt;=$I22),1,"")</f>
        <v/>
      </c>
      <c r="AM22" s="15" t="str">
        <f aca="false">IF(AND(AM$3&gt;=$H22,AM$3&lt;=$I22),1,"")</f>
        <v/>
      </c>
      <c r="AN22" s="15" t="str">
        <f aca="false">IF(AND(AN$3&gt;=$H22,AN$3&lt;=$I22),1,"")</f>
        <v/>
      </c>
      <c r="AO22" s="15" t="str">
        <f aca="false">IF(AND(AO$3&gt;=$H22,AO$3&lt;=$I22),1,"")</f>
        <v/>
      </c>
      <c r="AP22" s="15" t="str">
        <f aca="false">IF(AND(AP$3&gt;=$H22,AP$3&lt;=$I22),1,"")</f>
        <v/>
      </c>
      <c r="AQ22" s="15" t="str">
        <f aca="false">IF(AND(AQ$3&gt;=$H22,AQ$3&lt;=$I22),1,"")</f>
        <v/>
      </c>
      <c r="AR22" s="15" t="str">
        <f aca="false">IF(AND(AR$3&gt;=$H22,AR$3&lt;=$I22),1,"")</f>
        <v/>
      </c>
    </row>
    <row r="23" customFormat="false" ht="15" hidden="false" customHeight="false" outlineLevel="0" collapsed="false">
      <c r="A23" s="10" t="s">
        <v>51</v>
      </c>
      <c r="B23" s="10" t="s">
        <v>84</v>
      </c>
      <c r="C23" s="10" t="s">
        <v>85</v>
      </c>
      <c r="D23" s="10"/>
      <c r="E23" s="11" t="n">
        <v>0</v>
      </c>
      <c r="F23" s="11" t="n">
        <v>0.5</v>
      </c>
      <c r="G23" s="10" t="s">
        <v>44</v>
      </c>
      <c r="H23" s="12" t="n">
        <v>8</v>
      </c>
      <c r="I23" s="12" t="n">
        <v>8</v>
      </c>
      <c r="J23" s="13" t="n">
        <f aca="false">INDEX(Calendario!$B$2:$B$31,MATCH(H23,Calendario!$A$2:$A$31,0))</f>
        <v>46330</v>
      </c>
      <c r="K23" s="13" t="n">
        <f aca="false">INDEX(Calendario!$B$2:$B$31,MATCH(I23,Calendario!$A$2:$A$31,0))</f>
        <v>46330</v>
      </c>
      <c r="L23" s="14" t="s">
        <v>38</v>
      </c>
      <c r="M23" s="13"/>
      <c r="N23" s="13"/>
      <c r="O23" s="15" t="str">
        <f aca="false">IF(AND(O$3&gt;=$H23,O$3&lt;=$I23),1,"")</f>
        <v/>
      </c>
      <c r="P23" s="15" t="str">
        <f aca="false">IF(AND(P$3&gt;=$H23,P$3&lt;=$I23),1,"")</f>
        <v/>
      </c>
      <c r="Q23" s="15" t="str">
        <f aca="false">IF(AND(Q$3&gt;=$H23,Q$3&lt;=$I23),1,"")</f>
        <v/>
      </c>
      <c r="R23" s="15" t="str">
        <f aca="false">IF(AND(R$3&gt;=$H23,R$3&lt;=$I23),1,"")</f>
        <v/>
      </c>
      <c r="S23" s="15" t="str">
        <f aca="false">IF(AND(S$3&gt;=$H23,S$3&lt;=$I23),1,"")</f>
        <v/>
      </c>
      <c r="T23" s="15" t="str">
        <f aca="false">IF(AND(T$3&gt;=$H23,T$3&lt;=$I23),1,"")</f>
        <v/>
      </c>
      <c r="U23" s="15" t="str">
        <f aca="false">IF(AND(U$3&gt;=$H23,U$3&lt;=$I23),1,"")</f>
        <v/>
      </c>
      <c r="V23" s="15" t="n">
        <f aca="false">IF(AND(V$3&gt;=$H23,V$3&lt;=$I23),1,"")</f>
        <v>1</v>
      </c>
      <c r="W23" s="15" t="str">
        <f aca="false">IF(AND(W$3&gt;=$H23,W$3&lt;=$I23),1,"")</f>
        <v/>
      </c>
      <c r="X23" s="15" t="str">
        <f aca="false">IF(AND(X$3&gt;=$H23,X$3&lt;=$I23),1,"")</f>
        <v/>
      </c>
      <c r="Y23" s="15" t="str">
        <f aca="false">IF(AND(Y$3&gt;=$H23,Y$3&lt;=$I23),1,"")</f>
        <v/>
      </c>
      <c r="Z23" s="15" t="str">
        <f aca="false">IF(AND(Z$3&gt;=$H23,Z$3&lt;=$I23),1,"")</f>
        <v/>
      </c>
      <c r="AA23" s="15" t="str">
        <f aca="false">IF(AND(AA$3&gt;=$H23,AA$3&lt;=$I23),1,"")</f>
        <v/>
      </c>
      <c r="AB23" s="15" t="str">
        <f aca="false">IF(AND(AB$3&gt;=$H23,AB$3&lt;=$I23),1,"")</f>
        <v/>
      </c>
      <c r="AC23" s="15" t="str">
        <f aca="false">IF(AND(AC$3&gt;=$H23,AC$3&lt;=$I23),1,"")</f>
        <v/>
      </c>
      <c r="AD23" s="15" t="str">
        <f aca="false">IF(AND(AD$3&gt;=$H23,AD$3&lt;=$I23),1,"")</f>
        <v/>
      </c>
      <c r="AE23" s="15" t="str">
        <f aca="false">IF(AND(AE$3&gt;=$H23,AE$3&lt;=$I23),1,"")</f>
        <v/>
      </c>
      <c r="AF23" s="15" t="str">
        <f aca="false">IF(AND(AF$3&gt;=$H23,AF$3&lt;=$I23),1,"")</f>
        <v/>
      </c>
      <c r="AG23" s="15" t="str">
        <f aca="false">IF(AND(AG$3&gt;=$H23,AG$3&lt;=$I23),1,"")</f>
        <v/>
      </c>
      <c r="AH23" s="15" t="str">
        <f aca="false">IF(AND(AH$3&gt;=$H23,AH$3&lt;=$I23),1,"")</f>
        <v/>
      </c>
      <c r="AI23" s="15" t="str">
        <f aca="false">IF(AND(AI$3&gt;=$H23,AI$3&lt;=$I23),1,"")</f>
        <v/>
      </c>
      <c r="AJ23" s="15" t="str">
        <f aca="false">IF(AND(AJ$3&gt;=$H23,AJ$3&lt;=$I23),1,"")</f>
        <v/>
      </c>
      <c r="AK23" s="15" t="str">
        <f aca="false">IF(AND(AK$3&gt;=$H23,AK$3&lt;=$I23),1,"")</f>
        <v/>
      </c>
      <c r="AL23" s="15" t="str">
        <f aca="false">IF(AND(AL$3&gt;=$H23,AL$3&lt;=$I23),1,"")</f>
        <v/>
      </c>
      <c r="AM23" s="15" t="str">
        <f aca="false">IF(AND(AM$3&gt;=$H23,AM$3&lt;=$I23),1,"")</f>
        <v/>
      </c>
      <c r="AN23" s="15" t="str">
        <f aca="false">IF(AND(AN$3&gt;=$H23,AN$3&lt;=$I23),1,"")</f>
        <v/>
      </c>
      <c r="AO23" s="15" t="str">
        <f aca="false">IF(AND(AO$3&gt;=$H23,AO$3&lt;=$I23),1,"")</f>
        <v/>
      </c>
      <c r="AP23" s="15" t="str">
        <f aca="false">IF(AND(AP$3&gt;=$H23,AP$3&lt;=$I23),1,"")</f>
        <v/>
      </c>
      <c r="AQ23" s="15" t="str">
        <f aca="false">IF(AND(AQ$3&gt;=$H23,AQ$3&lt;=$I23),1,"")</f>
        <v/>
      </c>
      <c r="AR23" s="15" t="str">
        <f aca="false">IF(AND(AR$3&gt;=$H23,AR$3&lt;=$I23),1,"")</f>
        <v/>
      </c>
    </row>
    <row r="24" customFormat="false" ht="15" hidden="false" customHeight="false" outlineLevel="0" collapsed="false">
      <c r="A24" s="10" t="s">
        <v>51</v>
      </c>
      <c r="B24" s="10" t="s">
        <v>86</v>
      </c>
      <c r="C24" s="10" t="s">
        <v>87</v>
      </c>
      <c r="D24" s="10"/>
      <c r="E24" s="11" t="n">
        <v>0.5</v>
      </c>
      <c r="F24" s="11" t="n">
        <v>0.5</v>
      </c>
      <c r="G24" s="10" t="s">
        <v>37</v>
      </c>
      <c r="H24" s="12" t="n">
        <v>9</v>
      </c>
      <c r="I24" s="12" t="n">
        <v>9</v>
      </c>
      <c r="J24" s="13" t="n">
        <f aca="false">INDEX(Calendario!$B$2:$B$31,MATCH(H24,Calendario!$A$2:$A$31,0))</f>
        <v>46331</v>
      </c>
      <c r="K24" s="13" t="n">
        <f aca="false">INDEX(Calendario!$B$2:$B$31,MATCH(I24,Calendario!$A$2:$A$31,0))</f>
        <v>46331</v>
      </c>
      <c r="L24" s="14" t="s">
        <v>38</v>
      </c>
      <c r="M24" s="13"/>
      <c r="N24" s="13"/>
      <c r="O24" s="15" t="str">
        <f aca="false">IF(AND(O$3&gt;=$H24,O$3&lt;=$I24),1,"")</f>
        <v/>
      </c>
      <c r="P24" s="15" t="str">
        <f aca="false">IF(AND(P$3&gt;=$H24,P$3&lt;=$I24),1,"")</f>
        <v/>
      </c>
      <c r="Q24" s="15" t="str">
        <f aca="false">IF(AND(Q$3&gt;=$H24,Q$3&lt;=$I24),1,"")</f>
        <v/>
      </c>
      <c r="R24" s="15" t="str">
        <f aca="false">IF(AND(R$3&gt;=$H24,R$3&lt;=$I24),1,"")</f>
        <v/>
      </c>
      <c r="S24" s="15" t="str">
        <f aca="false">IF(AND(S$3&gt;=$H24,S$3&lt;=$I24),1,"")</f>
        <v/>
      </c>
      <c r="T24" s="15" t="str">
        <f aca="false">IF(AND(T$3&gt;=$H24,T$3&lt;=$I24),1,"")</f>
        <v/>
      </c>
      <c r="U24" s="15" t="str">
        <f aca="false">IF(AND(U$3&gt;=$H24,U$3&lt;=$I24),1,"")</f>
        <v/>
      </c>
      <c r="V24" s="15" t="str">
        <f aca="false">IF(AND(V$3&gt;=$H24,V$3&lt;=$I24),1,"")</f>
        <v/>
      </c>
      <c r="W24" s="15" t="n">
        <f aca="false">IF(AND(W$3&gt;=$H24,W$3&lt;=$I24),1,"")</f>
        <v>1</v>
      </c>
      <c r="X24" s="15" t="str">
        <f aca="false">IF(AND(X$3&gt;=$H24,X$3&lt;=$I24),1,"")</f>
        <v/>
      </c>
      <c r="Y24" s="15" t="str">
        <f aca="false">IF(AND(Y$3&gt;=$H24,Y$3&lt;=$I24),1,"")</f>
        <v/>
      </c>
      <c r="Z24" s="15" t="str">
        <f aca="false">IF(AND(Z$3&gt;=$H24,Z$3&lt;=$I24),1,"")</f>
        <v/>
      </c>
      <c r="AA24" s="15" t="str">
        <f aca="false">IF(AND(AA$3&gt;=$H24,AA$3&lt;=$I24),1,"")</f>
        <v/>
      </c>
      <c r="AB24" s="15" t="str">
        <f aca="false">IF(AND(AB$3&gt;=$H24,AB$3&lt;=$I24),1,"")</f>
        <v/>
      </c>
      <c r="AC24" s="15" t="str">
        <f aca="false">IF(AND(AC$3&gt;=$H24,AC$3&lt;=$I24),1,"")</f>
        <v/>
      </c>
      <c r="AD24" s="15" t="str">
        <f aca="false">IF(AND(AD$3&gt;=$H24,AD$3&lt;=$I24),1,"")</f>
        <v/>
      </c>
      <c r="AE24" s="15" t="str">
        <f aca="false">IF(AND(AE$3&gt;=$H24,AE$3&lt;=$I24),1,"")</f>
        <v/>
      </c>
      <c r="AF24" s="15" t="str">
        <f aca="false">IF(AND(AF$3&gt;=$H24,AF$3&lt;=$I24),1,"")</f>
        <v/>
      </c>
      <c r="AG24" s="15" t="str">
        <f aca="false">IF(AND(AG$3&gt;=$H24,AG$3&lt;=$I24),1,"")</f>
        <v/>
      </c>
      <c r="AH24" s="15" t="str">
        <f aca="false">IF(AND(AH$3&gt;=$H24,AH$3&lt;=$I24),1,"")</f>
        <v/>
      </c>
      <c r="AI24" s="15" t="str">
        <f aca="false">IF(AND(AI$3&gt;=$H24,AI$3&lt;=$I24),1,"")</f>
        <v/>
      </c>
      <c r="AJ24" s="15" t="str">
        <f aca="false">IF(AND(AJ$3&gt;=$H24,AJ$3&lt;=$I24),1,"")</f>
        <v/>
      </c>
      <c r="AK24" s="15" t="str">
        <f aca="false">IF(AND(AK$3&gt;=$H24,AK$3&lt;=$I24),1,"")</f>
        <v/>
      </c>
      <c r="AL24" s="15" t="str">
        <f aca="false">IF(AND(AL$3&gt;=$H24,AL$3&lt;=$I24),1,"")</f>
        <v/>
      </c>
      <c r="AM24" s="15" t="str">
        <f aca="false">IF(AND(AM$3&gt;=$H24,AM$3&lt;=$I24),1,"")</f>
        <v/>
      </c>
      <c r="AN24" s="15" t="str">
        <f aca="false">IF(AND(AN$3&gt;=$H24,AN$3&lt;=$I24),1,"")</f>
        <v/>
      </c>
      <c r="AO24" s="15" t="str">
        <f aca="false">IF(AND(AO$3&gt;=$H24,AO$3&lt;=$I24),1,"")</f>
        <v/>
      </c>
      <c r="AP24" s="15" t="str">
        <f aca="false">IF(AND(AP$3&gt;=$H24,AP$3&lt;=$I24),1,"")</f>
        <v/>
      </c>
      <c r="AQ24" s="15" t="str">
        <f aca="false">IF(AND(AQ$3&gt;=$H24,AQ$3&lt;=$I24),1,"")</f>
        <v/>
      </c>
      <c r="AR24" s="15" t="str">
        <f aca="false">IF(AND(AR$3&gt;=$H24,AR$3&lt;=$I24),1,"")</f>
        <v/>
      </c>
    </row>
    <row r="25" customFormat="false" ht="15" hidden="false" customHeight="false" outlineLevel="0" collapsed="false">
      <c r="A25" s="10" t="s">
        <v>88</v>
      </c>
      <c r="B25" s="10" t="s">
        <v>89</v>
      </c>
      <c r="C25" s="10" t="s">
        <v>90</v>
      </c>
      <c r="D25" s="10" t="s">
        <v>91</v>
      </c>
      <c r="E25" s="11" t="n">
        <v>0.5</v>
      </c>
      <c r="F25" s="11" t="n">
        <v>0.5</v>
      </c>
      <c r="G25" s="10" t="s">
        <v>37</v>
      </c>
      <c r="H25" s="12" t="n">
        <v>10</v>
      </c>
      <c r="I25" s="12" t="n">
        <v>10</v>
      </c>
      <c r="J25" s="13" t="n">
        <f aca="false">INDEX(Calendario!$B$2:$B$31,MATCH(H25,Calendario!$A$2:$A$31,0))</f>
        <v>46332</v>
      </c>
      <c r="K25" s="13" t="n">
        <f aca="false">INDEX(Calendario!$B$2:$B$31,MATCH(I25,Calendario!$A$2:$A$31,0))</f>
        <v>46332</v>
      </c>
      <c r="L25" s="14" t="s">
        <v>38</v>
      </c>
      <c r="M25" s="13"/>
      <c r="N25" s="13"/>
      <c r="O25" s="15" t="str">
        <f aca="false">IF(AND(O$3&gt;=$H25,O$3&lt;=$I25),1,"")</f>
        <v/>
      </c>
      <c r="P25" s="15" t="str">
        <f aca="false">IF(AND(P$3&gt;=$H25,P$3&lt;=$I25),1,"")</f>
        <v/>
      </c>
      <c r="Q25" s="15" t="str">
        <f aca="false">IF(AND(Q$3&gt;=$H25,Q$3&lt;=$I25),1,"")</f>
        <v/>
      </c>
      <c r="R25" s="15" t="str">
        <f aca="false">IF(AND(R$3&gt;=$H25,R$3&lt;=$I25),1,"")</f>
        <v/>
      </c>
      <c r="S25" s="15" t="str">
        <f aca="false">IF(AND(S$3&gt;=$H25,S$3&lt;=$I25),1,"")</f>
        <v/>
      </c>
      <c r="T25" s="15" t="str">
        <f aca="false">IF(AND(T$3&gt;=$H25,T$3&lt;=$I25),1,"")</f>
        <v/>
      </c>
      <c r="U25" s="15" t="str">
        <f aca="false">IF(AND(U$3&gt;=$H25,U$3&lt;=$I25),1,"")</f>
        <v/>
      </c>
      <c r="V25" s="15" t="str">
        <f aca="false">IF(AND(V$3&gt;=$H25,V$3&lt;=$I25),1,"")</f>
        <v/>
      </c>
      <c r="W25" s="15" t="str">
        <f aca="false">IF(AND(W$3&gt;=$H25,W$3&lt;=$I25),1,"")</f>
        <v/>
      </c>
      <c r="X25" s="15" t="n">
        <f aca="false">IF(AND(X$3&gt;=$H25,X$3&lt;=$I25),1,"")</f>
        <v>1</v>
      </c>
      <c r="Y25" s="15" t="str">
        <f aca="false">IF(AND(Y$3&gt;=$H25,Y$3&lt;=$I25),1,"")</f>
        <v/>
      </c>
      <c r="Z25" s="15" t="str">
        <f aca="false">IF(AND(Z$3&gt;=$H25,Z$3&lt;=$I25),1,"")</f>
        <v/>
      </c>
      <c r="AA25" s="15" t="str">
        <f aca="false">IF(AND(AA$3&gt;=$H25,AA$3&lt;=$I25),1,"")</f>
        <v/>
      </c>
      <c r="AB25" s="15" t="str">
        <f aca="false">IF(AND(AB$3&gt;=$H25,AB$3&lt;=$I25),1,"")</f>
        <v/>
      </c>
      <c r="AC25" s="15" t="str">
        <f aca="false">IF(AND(AC$3&gt;=$H25,AC$3&lt;=$I25),1,"")</f>
        <v/>
      </c>
      <c r="AD25" s="15" t="str">
        <f aca="false">IF(AND(AD$3&gt;=$H25,AD$3&lt;=$I25),1,"")</f>
        <v/>
      </c>
      <c r="AE25" s="15" t="str">
        <f aca="false">IF(AND(AE$3&gt;=$H25,AE$3&lt;=$I25),1,"")</f>
        <v/>
      </c>
      <c r="AF25" s="15" t="str">
        <f aca="false">IF(AND(AF$3&gt;=$H25,AF$3&lt;=$I25),1,"")</f>
        <v/>
      </c>
      <c r="AG25" s="15" t="str">
        <f aca="false">IF(AND(AG$3&gt;=$H25,AG$3&lt;=$I25),1,"")</f>
        <v/>
      </c>
      <c r="AH25" s="15" t="str">
        <f aca="false">IF(AND(AH$3&gt;=$H25,AH$3&lt;=$I25),1,"")</f>
        <v/>
      </c>
      <c r="AI25" s="15" t="str">
        <f aca="false">IF(AND(AI$3&gt;=$H25,AI$3&lt;=$I25),1,"")</f>
        <v/>
      </c>
      <c r="AJ25" s="15" t="str">
        <f aca="false">IF(AND(AJ$3&gt;=$H25,AJ$3&lt;=$I25),1,"")</f>
        <v/>
      </c>
      <c r="AK25" s="15" t="str">
        <f aca="false">IF(AND(AK$3&gt;=$H25,AK$3&lt;=$I25),1,"")</f>
        <v/>
      </c>
      <c r="AL25" s="15" t="str">
        <f aca="false">IF(AND(AL$3&gt;=$H25,AL$3&lt;=$I25),1,"")</f>
        <v/>
      </c>
      <c r="AM25" s="15" t="str">
        <f aca="false">IF(AND(AM$3&gt;=$H25,AM$3&lt;=$I25),1,"")</f>
        <v/>
      </c>
      <c r="AN25" s="15" t="str">
        <f aca="false">IF(AND(AN$3&gt;=$H25,AN$3&lt;=$I25),1,"")</f>
        <v/>
      </c>
      <c r="AO25" s="15" t="str">
        <f aca="false">IF(AND(AO$3&gt;=$H25,AO$3&lt;=$I25),1,"")</f>
        <v/>
      </c>
      <c r="AP25" s="15" t="str">
        <f aca="false">IF(AND(AP$3&gt;=$H25,AP$3&lt;=$I25),1,"")</f>
        <v/>
      </c>
      <c r="AQ25" s="15" t="str">
        <f aca="false">IF(AND(AQ$3&gt;=$H25,AQ$3&lt;=$I25),1,"")</f>
        <v/>
      </c>
      <c r="AR25" s="15" t="str">
        <f aca="false">IF(AND(AR$3&gt;=$H25,AR$3&lt;=$I25),1,"")</f>
        <v/>
      </c>
    </row>
    <row r="26" customFormat="false" ht="15" hidden="false" customHeight="false" outlineLevel="0" collapsed="false">
      <c r="A26" s="10" t="s">
        <v>88</v>
      </c>
      <c r="B26" s="10" t="s">
        <v>92</v>
      </c>
      <c r="C26" s="10" t="s">
        <v>93</v>
      </c>
      <c r="D26" s="10"/>
      <c r="E26" s="11" t="n">
        <v>1</v>
      </c>
      <c r="F26" s="11" t="n">
        <v>0</v>
      </c>
      <c r="G26" s="10" t="s">
        <v>41</v>
      </c>
      <c r="H26" s="12" t="n">
        <v>10</v>
      </c>
      <c r="I26" s="12" t="n">
        <v>11</v>
      </c>
      <c r="J26" s="13" t="n">
        <f aca="false">INDEX(Calendario!$B$2:$B$31,MATCH(H26,Calendario!$A$2:$A$31,0))</f>
        <v>46332</v>
      </c>
      <c r="K26" s="13" t="n">
        <f aca="false">INDEX(Calendario!$B$2:$B$31,MATCH(I26,Calendario!$A$2:$A$31,0))</f>
        <v>46333</v>
      </c>
      <c r="L26" s="14" t="s">
        <v>38</v>
      </c>
      <c r="M26" s="13"/>
      <c r="N26" s="13"/>
      <c r="O26" s="15" t="str">
        <f aca="false">IF(AND(O$3&gt;=$H26,O$3&lt;=$I26),1,"")</f>
        <v/>
      </c>
      <c r="P26" s="15" t="str">
        <f aca="false">IF(AND(P$3&gt;=$H26,P$3&lt;=$I26),1,"")</f>
        <v/>
      </c>
      <c r="Q26" s="15" t="str">
        <f aca="false">IF(AND(Q$3&gt;=$H26,Q$3&lt;=$I26),1,"")</f>
        <v/>
      </c>
      <c r="R26" s="15" t="str">
        <f aca="false">IF(AND(R$3&gt;=$H26,R$3&lt;=$I26),1,"")</f>
        <v/>
      </c>
      <c r="S26" s="15" t="str">
        <f aca="false">IF(AND(S$3&gt;=$H26,S$3&lt;=$I26),1,"")</f>
        <v/>
      </c>
      <c r="T26" s="15" t="str">
        <f aca="false">IF(AND(T$3&gt;=$H26,T$3&lt;=$I26),1,"")</f>
        <v/>
      </c>
      <c r="U26" s="15" t="str">
        <f aca="false">IF(AND(U$3&gt;=$H26,U$3&lt;=$I26),1,"")</f>
        <v/>
      </c>
      <c r="V26" s="15" t="str">
        <f aca="false">IF(AND(V$3&gt;=$H26,V$3&lt;=$I26),1,"")</f>
        <v/>
      </c>
      <c r="W26" s="15" t="str">
        <f aca="false">IF(AND(W$3&gt;=$H26,W$3&lt;=$I26),1,"")</f>
        <v/>
      </c>
      <c r="X26" s="15" t="n">
        <f aca="false">IF(AND(X$3&gt;=$H26,X$3&lt;=$I26),1,"")</f>
        <v>1</v>
      </c>
      <c r="Y26" s="15" t="n">
        <f aca="false">IF(AND(Y$3&gt;=$H26,Y$3&lt;=$I26),1,"")</f>
        <v>1</v>
      </c>
      <c r="Z26" s="15" t="str">
        <f aca="false">IF(AND(Z$3&gt;=$H26,Z$3&lt;=$I26),1,"")</f>
        <v/>
      </c>
      <c r="AA26" s="15" t="str">
        <f aca="false">IF(AND(AA$3&gt;=$H26,AA$3&lt;=$I26),1,"")</f>
        <v/>
      </c>
      <c r="AB26" s="15" t="str">
        <f aca="false">IF(AND(AB$3&gt;=$H26,AB$3&lt;=$I26),1,"")</f>
        <v/>
      </c>
      <c r="AC26" s="15" t="str">
        <f aca="false">IF(AND(AC$3&gt;=$H26,AC$3&lt;=$I26),1,"")</f>
        <v/>
      </c>
      <c r="AD26" s="15" t="str">
        <f aca="false">IF(AND(AD$3&gt;=$H26,AD$3&lt;=$I26),1,"")</f>
        <v/>
      </c>
      <c r="AE26" s="15" t="str">
        <f aca="false">IF(AND(AE$3&gt;=$H26,AE$3&lt;=$I26),1,"")</f>
        <v/>
      </c>
      <c r="AF26" s="15" t="str">
        <f aca="false">IF(AND(AF$3&gt;=$H26,AF$3&lt;=$I26),1,"")</f>
        <v/>
      </c>
      <c r="AG26" s="15" t="str">
        <f aca="false">IF(AND(AG$3&gt;=$H26,AG$3&lt;=$I26),1,"")</f>
        <v/>
      </c>
      <c r="AH26" s="15" t="str">
        <f aca="false">IF(AND(AH$3&gt;=$H26,AH$3&lt;=$I26),1,"")</f>
        <v/>
      </c>
      <c r="AI26" s="15" t="str">
        <f aca="false">IF(AND(AI$3&gt;=$H26,AI$3&lt;=$I26),1,"")</f>
        <v/>
      </c>
      <c r="AJ26" s="15" t="str">
        <f aca="false">IF(AND(AJ$3&gt;=$H26,AJ$3&lt;=$I26),1,"")</f>
        <v/>
      </c>
      <c r="AK26" s="15" t="str">
        <f aca="false">IF(AND(AK$3&gt;=$H26,AK$3&lt;=$I26),1,"")</f>
        <v/>
      </c>
      <c r="AL26" s="15" t="str">
        <f aca="false">IF(AND(AL$3&gt;=$H26,AL$3&lt;=$I26),1,"")</f>
        <v/>
      </c>
      <c r="AM26" s="15" t="str">
        <f aca="false">IF(AND(AM$3&gt;=$H26,AM$3&lt;=$I26),1,"")</f>
        <v/>
      </c>
      <c r="AN26" s="15" t="str">
        <f aca="false">IF(AND(AN$3&gt;=$H26,AN$3&lt;=$I26),1,"")</f>
        <v/>
      </c>
      <c r="AO26" s="15" t="str">
        <f aca="false">IF(AND(AO$3&gt;=$H26,AO$3&lt;=$I26),1,"")</f>
        <v/>
      </c>
      <c r="AP26" s="15" t="str">
        <f aca="false">IF(AND(AP$3&gt;=$H26,AP$3&lt;=$I26),1,"")</f>
        <v/>
      </c>
      <c r="AQ26" s="15" t="str">
        <f aca="false">IF(AND(AQ$3&gt;=$H26,AQ$3&lt;=$I26),1,"")</f>
        <v/>
      </c>
      <c r="AR26" s="15" t="str">
        <f aca="false">IF(AND(AR$3&gt;=$H26,AR$3&lt;=$I26),1,"")</f>
        <v/>
      </c>
    </row>
    <row r="27" customFormat="false" ht="15" hidden="false" customHeight="false" outlineLevel="0" collapsed="false">
      <c r="A27" s="10" t="s">
        <v>88</v>
      </c>
      <c r="B27" s="10" t="s">
        <v>94</v>
      </c>
      <c r="C27" s="10" t="s">
        <v>95</v>
      </c>
      <c r="D27" s="10"/>
      <c r="E27" s="11" t="n">
        <v>0</v>
      </c>
      <c r="F27" s="11" t="n">
        <v>1</v>
      </c>
      <c r="G27" s="10" t="s">
        <v>44</v>
      </c>
      <c r="H27" s="12" t="n">
        <v>10</v>
      </c>
      <c r="I27" s="12" t="n">
        <v>11</v>
      </c>
      <c r="J27" s="13" t="n">
        <f aca="false">INDEX(Calendario!$B$2:$B$31,MATCH(H27,Calendario!$A$2:$A$31,0))</f>
        <v>46332</v>
      </c>
      <c r="K27" s="13" t="n">
        <f aca="false">INDEX(Calendario!$B$2:$B$31,MATCH(I27,Calendario!$A$2:$A$31,0))</f>
        <v>46333</v>
      </c>
      <c r="L27" s="14" t="s">
        <v>38</v>
      </c>
      <c r="M27" s="13"/>
      <c r="N27" s="13"/>
      <c r="O27" s="15" t="str">
        <f aca="false">IF(AND(O$3&gt;=$H27,O$3&lt;=$I27),1,"")</f>
        <v/>
      </c>
      <c r="P27" s="15" t="str">
        <f aca="false">IF(AND(P$3&gt;=$H27,P$3&lt;=$I27),1,"")</f>
        <v/>
      </c>
      <c r="Q27" s="15" t="str">
        <f aca="false">IF(AND(Q$3&gt;=$H27,Q$3&lt;=$I27),1,"")</f>
        <v/>
      </c>
      <c r="R27" s="15" t="str">
        <f aca="false">IF(AND(R$3&gt;=$H27,R$3&lt;=$I27),1,"")</f>
        <v/>
      </c>
      <c r="S27" s="15" t="str">
        <f aca="false">IF(AND(S$3&gt;=$H27,S$3&lt;=$I27),1,"")</f>
        <v/>
      </c>
      <c r="T27" s="15" t="str">
        <f aca="false">IF(AND(T$3&gt;=$H27,T$3&lt;=$I27),1,"")</f>
        <v/>
      </c>
      <c r="U27" s="15" t="str">
        <f aca="false">IF(AND(U$3&gt;=$H27,U$3&lt;=$I27),1,"")</f>
        <v/>
      </c>
      <c r="V27" s="15" t="str">
        <f aca="false">IF(AND(V$3&gt;=$H27,V$3&lt;=$I27),1,"")</f>
        <v/>
      </c>
      <c r="W27" s="15" t="str">
        <f aca="false">IF(AND(W$3&gt;=$H27,W$3&lt;=$I27),1,"")</f>
        <v/>
      </c>
      <c r="X27" s="15" t="n">
        <f aca="false">IF(AND(X$3&gt;=$H27,X$3&lt;=$I27),1,"")</f>
        <v>1</v>
      </c>
      <c r="Y27" s="15" t="n">
        <f aca="false">IF(AND(Y$3&gt;=$H27,Y$3&lt;=$I27),1,"")</f>
        <v>1</v>
      </c>
      <c r="Z27" s="15" t="str">
        <f aca="false">IF(AND(Z$3&gt;=$H27,Z$3&lt;=$I27),1,"")</f>
        <v/>
      </c>
      <c r="AA27" s="15" t="str">
        <f aca="false">IF(AND(AA$3&gt;=$H27,AA$3&lt;=$I27),1,"")</f>
        <v/>
      </c>
      <c r="AB27" s="15" t="str">
        <f aca="false">IF(AND(AB$3&gt;=$H27,AB$3&lt;=$I27),1,"")</f>
        <v/>
      </c>
      <c r="AC27" s="15" t="str">
        <f aca="false">IF(AND(AC$3&gt;=$H27,AC$3&lt;=$I27),1,"")</f>
        <v/>
      </c>
      <c r="AD27" s="15" t="str">
        <f aca="false">IF(AND(AD$3&gt;=$H27,AD$3&lt;=$I27),1,"")</f>
        <v/>
      </c>
      <c r="AE27" s="15" t="str">
        <f aca="false">IF(AND(AE$3&gt;=$H27,AE$3&lt;=$I27),1,"")</f>
        <v/>
      </c>
      <c r="AF27" s="15" t="str">
        <f aca="false">IF(AND(AF$3&gt;=$H27,AF$3&lt;=$I27),1,"")</f>
        <v/>
      </c>
      <c r="AG27" s="15" t="str">
        <f aca="false">IF(AND(AG$3&gt;=$H27,AG$3&lt;=$I27),1,"")</f>
        <v/>
      </c>
      <c r="AH27" s="15" t="str">
        <f aca="false">IF(AND(AH$3&gt;=$H27,AH$3&lt;=$I27),1,"")</f>
        <v/>
      </c>
      <c r="AI27" s="15" t="str">
        <f aca="false">IF(AND(AI$3&gt;=$H27,AI$3&lt;=$I27),1,"")</f>
        <v/>
      </c>
      <c r="AJ27" s="15" t="str">
        <f aca="false">IF(AND(AJ$3&gt;=$H27,AJ$3&lt;=$I27),1,"")</f>
        <v/>
      </c>
      <c r="AK27" s="15" t="str">
        <f aca="false">IF(AND(AK$3&gt;=$H27,AK$3&lt;=$I27),1,"")</f>
        <v/>
      </c>
      <c r="AL27" s="15" t="str">
        <f aca="false">IF(AND(AL$3&gt;=$H27,AL$3&lt;=$I27),1,"")</f>
        <v/>
      </c>
      <c r="AM27" s="15" t="str">
        <f aca="false">IF(AND(AM$3&gt;=$H27,AM$3&lt;=$I27),1,"")</f>
        <v/>
      </c>
      <c r="AN27" s="15" t="str">
        <f aca="false">IF(AND(AN$3&gt;=$H27,AN$3&lt;=$I27),1,"")</f>
        <v/>
      </c>
      <c r="AO27" s="15" t="str">
        <f aca="false">IF(AND(AO$3&gt;=$H27,AO$3&lt;=$I27),1,"")</f>
        <v/>
      </c>
      <c r="AP27" s="15" t="str">
        <f aca="false">IF(AND(AP$3&gt;=$H27,AP$3&lt;=$I27),1,"")</f>
        <v/>
      </c>
      <c r="AQ27" s="15" t="str">
        <f aca="false">IF(AND(AQ$3&gt;=$H27,AQ$3&lt;=$I27),1,"")</f>
        <v/>
      </c>
      <c r="AR27" s="15" t="str">
        <f aca="false">IF(AND(AR$3&gt;=$H27,AR$3&lt;=$I27),1,"")</f>
        <v/>
      </c>
    </row>
    <row r="28" customFormat="false" ht="15" hidden="false" customHeight="false" outlineLevel="0" collapsed="false">
      <c r="A28" s="10" t="s">
        <v>88</v>
      </c>
      <c r="B28" s="10" t="s">
        <v>96</v>
      </c>
      <c r="C28" s="10" t="s">
        <v>97</v>
      </c>
      <c r="D28" s="10"/>
      <c r="E28" s="11" t="n">
        <v>1.5</v>
      </c>
      <c r="F28" s="11" t="n">
        <v>0</v>
      </c>
      <c r="G28" s="10" t="s">
        <v>41</v>
      </c>
      <c r="H28" s="12" t="n">
        <v>11</v>
      </c>
      <c r="I28" s="12" t="n">
        <v>13</v>
      </c>
      <c r="J28" s="13" t="n">
        <f aca="false">INDEX(Calendario!$B$2:$B$31,MATCH(H28,Calendario!$A$2:$A$31,0))</f>
        <v>46333</v>
      </c>
      <c r="K28" s="13" t="n">
        <f aca="false">INDEX(Calendario!$B$2:$B$31,MATCH(I28,Calendario!$A$2:$A$31,0))</f>
        <v>46335</v>
      </c>
      <c r="L28" s="14" t="s">
        <v>38</v>
      </c>
      <c r="M28" s="13"/>
      <c r="N28" s="13"/>
      <c r="O28" s="15" t="str">
        <f aca="false">IF(AND(O$3&gt;=$H28,O$3&lt;=$I28),1,"")</f>
        <v/>
      </c>
      <c r="P28" s="15" t="str">
        <f aca="false">IF(AND(P$3&gt;=$H28,P$3&lt;=$I28),1,"")</f>
        <v/>
      </c>
      <c r="Q28" s="15" t="str">
        <f aca="false">IF(AND(Q$3&gt;=$H28,Q$3&lt;=$I28),1,"")</f>
        <v/>
      </c>
      <c r="R28" s="15" t="str">
        <f aca="false">IF(AND(R$3&gt;=$H28,R$3&lt;=$I28),1,"")</f>
        <v/>
      </c>
      <c r="S28" s="15" t="str">
        <f aca="false">IF(AND(S$3&gt;=$H28,S$3&lt;=$I28),1,"")</f>
        <v/>
      </c>
      <c r="T28" s="15" t="str">
        <f aca="false">IF(AND(T$3&gt;=$H28,T$3&lt;=$I28),1,"")</f>
        <v/>
      </c>
      <c r="U28" s="15" t="str">
        <f aca="false">IF(AND(U$3&gt;=$H28,U$3&lt;=$I28),1,"")</f>
        <v/>
      </c>
      <c r="V28" s="15" t="str">
        <f aca="false">IF(AND(V$3&gt;=$H28,V$3&lt;=$I28),1,"")</f>
        <v/>
      </c>
      <c r="W28" s="15" t="str">
        <f aca="false">IF(AND(W$3&gt;=$H28,W$3&lt;=$I28),1,"")</f>
        <v/>
      </c>
      <c r="X28" s="15" t="str">
        <f aca="false">IF(AND(X$3&gt;=$H28,X$3&lt;=$I28),1,"")</f>
        <v/>
      </c>
      <c r="Y28" s="15" t="n">
        <f aca="false">IF(AND(Y$3&gt;=$H28,Y$3&lt;=$I28),1,"")</f>
        <v>1</v>
      </c>
      <c r="Z28" s="15" t="n">
        <f aca="false">IF(AND(Z$3&gt;=$H28,Z$3&lt;=$I28),1,"")</f>
        <v>1</v>
      </c>
      <c r="AA28" s="15" t="n">
        <f aca="false">IF(AND(AA$3&gt;=$H28,AA$3&lt;=$I28),1,"")</f>
        <v>1</v>
      </c>
      <c r="AB28" s="15" t="str">
        <f aca="false">IF(AND(AB$3&gt;=$H28,AB$3&lt;=$I28),1,"")</f>
        <v/>
      </c>
      <c r="AC28" s="15" t="str">
        <f aca="false">IF(AND(AC$3&gt;=$H28,AC$3&lt;=$I28),1,"")</f>
        <v/>
      </c>
      <c r="AD28" s="15" t="str">
        <f aca="false">IF(AND(AD$3&gt;=$H28,AD$3&lt;=$I28),1,"")</f>
        <v/>
      </c>
      <c r="AE28" s="15" t="str">
        <f aca="false">IF(AND(AE$3&gt;=$H28,AE$3&lt;=$I28),1,"")</f>
        <v/>
      </c>
      <c r="AF28" s="15" t="str">
        <f aca="false">IF(AND(AF$3&gt;=$H28,AF$3&lt;=$I28),1,"")</f>
        <v/>
      </c>
      <c r="AG28" s="15" t="str">
        <f aca="false">IF(AND(AG$3&gt;=$H28,AG$3&lt;=$I28),1,"")</f>
        <v/>
      </c>
      <c r="AH28" s="15" t="str">
        <f aca="false">IF(AND(AH$3&gt;=$H28,AH$3&lt;=$I28),1,"")</f>
        <v/>
      </c>
      <c r="AI28" s="15" t="str">
        <f aca="false">IF(AND(AI$3&gt;=$H28,AI$3&lt;=$I28),1,"")</f>
        <v/>
      </c>
      <c r="AJ28" s="15" t="str">
        <f aca="false">IF(AND(AJ$3&gt;=$H28,AJ$3&lt;=$I28),1,"")</f>
        <v/>
      </c>
      <c r="AK28" s="15" t="str">
        <f aca="false">IF(AND(AK$3&gt;=$H28,AK$3&lt;=$I28),1,"")</f>
        <v/>
      </c>
      <c r="AL28" s="15" t="str">
        <f aca="false">IF(AND(AL$3&gt;=$H28,AL$3&lt;=$I28),1,"")</f>
        <v/>
      </c>
      <c r="AM28" s="15" t="str">
        <f aca="false">IF(AND(AM$3&gt;=$H28,AM$3&lt;=$I28),1,"")</f>
        <v/>
      </c>
      <c r="AN28" s="15" t="str">
        <f aca="false">IF(AND(AN$3&gt;=$H28,AN$3&lt;=$I28),1,"")</f>
        <v/>
      </c>
      <c r="AO28" s="15" t="str">
        <f aca="false">IF(AND(AO$3&gt;=$H28,AO$3&lt;=$I28),1,"")</f>
        <v/>
      </c>
      <c r="AP28" s="15" t="str">
        <f aca="false">IF(AND(AP$3&gt;=$H28,AP$3&lt;=$I28),1,"")</f>
        <v/>
      </c>
      <c r="AQ28" s="15" t="str">
        <f aca="false">IF(AND(AQ$3&gt;=$H28,AQ$3&lt;=$I28),1,"")</f>
        <v/>
      </c>
      <c r="AR28" s="15" t="str">
        <f aca="false">IF(AND(AR$3&gt;=$H28,AR$3&lt;=$I28),1,"")</f>
        <v/>
      </c>
    </row>
    <row r="29" customFormat="false" ht="15" hidden="false" customHeight="false" outlineLevel="0" collapsed="false">
      <c r="A29" s="10" t="s">
        <v>88</v>
      </c>
      <c r="B29" s="10" t="s">
        <v>98</v>
      </c>
      <c r="C29" s="10" t="s">
        <v>99</v>
      </c>
      <c r="D29" s="10"/>
      <c r="E29" s="11" t="n">
        <v>0</v>
      </c>
      <c r="F29" s="11" t="n">
        <v>1.5</v>
      </c>
      <c r="G29" s="10" t="s">
        <v>44</v>
      </c>
      <c r="H29" s="12" t="n">
        <v>11</v>
      </c>
      <c r="I29" s="12" t="n">
        <v>13</v>
      </c>
      <c r="J29" s="13" t="n">
        <f aca="false">INDEX(Calendario!$B$2:$B$31,MATCH(H29,Calendario!$A$2:$A$31,0))</f>
        <v>46333</v>
      </c>
      <c r="K29" s="13" t="n">
        <f aca="false">INDEX(Calendario!$B$2:$B$31,MATCH(I29,Calendario!$A$2:$A$31,0))</f>
        <v>46335</v>
      </c>
      <c r="L29" s="14" t="s">
        <v>38</v>
      </c>
      <c r="M29" s="13"/>
      <c r="N29" s="13"/>
      <c r="O29" s="15" t="str">
        <f aca="false">IF(AND(O$3&gt;=$H29,O$3&lt;=$I29),1,"")</f>
        <v/>
      </c>
      <c r="P29" s="15" t="str">
        <f aca="false">IF(AND(P$3&gt;=$H29,P$3&lt;=$I29),1,"")</f>
        <v/>
      </c>
      <c r="Q29" s="15" t="str">
        <f aca="false">IF(AND(Q$3&gt;=$H29,Q$3&lt;=$I29),1,"")</f>
        <v/>
      </c>
      <c r="R29" s="15" t="str">
        <f aca="false">IF(AND(R$3&gt;=$H29,R$3&lt;=$I29),1,"")</f>
        <v/>
      </c>
      <c r="S29" s="15" t="str">
        <f aca="false">IF(AND(S$3&gt;=$H29,S$3&lt;=$I29),1,"")</f>
        <v/>
      </c>
      <c r="T29" s="15" t="str">
        <f aca="false">IF(AND(T$3&gt;=$H29,T$3&lt;=$I29),1,"")</f>
        <v/>
      </c>
      <c r="U29" s="15" t="str">
        <f aca="false">IF(AND(U$3&gt;=$H29,U$3&lt;=$I29),1,"")</f>
        <v/>
      </c>
      <c r="V29" s="15" t="str">
        <f aca="false">IF(AND(V$3&gt;=$H29,V$3&lt;=$I29),1,"")</f>
        <v/>
      </c>
      <c r="W29" s="15" t="str">
        <f aca="false">IF(AND(W$3&gt;=$H29,W$3&lt;=$I29),1,"")</f>
        <v/>
      </c>
      <c r="X29" s="15" t="str">
        <f aca="false">IF(AND(X$3&gt;=$H29,X$3&lt;=$I29),1,"")</f>
        <v/>
      </c>
      <c r="Y29" s="15" t="n">
        <f aca="false">IF(AND(Y$3&gt;=$H29,Y$3&lt;=$I29),1,"")</f>
        <v>1</v>
      </c>
      <c r="Z29" s="15" t="n">
        <f aca="false">IF(AND(Z$3&gt;=$H29,Z$3&lt;=$I29),1,"")</f>
        <v>1</v>
      </c>
      <c r="AA29" s="15" t="n">
        <f aca="false">IF(AND(AA$3&gt;=$H29,AA$3&lt;=$I29),1,"")</f>
        <v>1</v>
      </c>
      <c r="AB29" s="15" t="str">
        <f aca="false">IF(AND(AB$3&gt;=$H29,AB$3&lt;=$I29),1,"")</f>
        <v/>
      </c>
      <c r="AC29" s="15" t="str">
        <f aca="false">IF(AND(AC$3&gt;=$H29,AC$3&lt;=$I29),1,"")</f>
        <v/>
      </c>
      <c r="AD29" s="15" t="str">
        <f aca="false">IF(AND(AD$3&gt;=$H29,AD$3&lt;=$I29),1,"")</f>
        <v/>
      </c>
      <c r="AE29" s="15" t="str">
        <f aca="false">IF(AND(AE$3&gt;=$H29,AE$3&lt;=$I29),1,"")</f>
        <v/>
      </c>
      <c r="AF29" s="15" t="str">
        <f aca="false">IF(AND(AF$3&gt;=$H29,AF$3&lt;=$I29),1,"")</f>
        <v/>
      </c>
      <c r="AG29" s="15" t="str">
        <f aca="false">IF(AND(AG$3&gt;=$H29,AG$3&lt;=$I29),1,"")</f>
        <v/>
      </c>
      <c r="AH29" s="15" t="str">
        <f aca="false">IF(AND(AH$3&gt;=$H29,AH$3&lt;=$I29),1,"")</f>
        <v/>
      </c>
      <c r="AI29" s="15" t="str">
        <f aca="false">IF(AND(AI$3&gt;=$H29,AI$3&lt;=$I29),1,"")</f>
        <v/>
      </c>
      <c r="AJ29" s="15" t="str">
        <f aca="false">IF(AND(AJ$3&gt;=$H29,AJ$3&lt;=$I29),1,"")</f>
        <v/>
      </c>
      <c r="AK29" s="15" t="str">
        <f aca="false">IF(AND(AK$3&gt;=$H29,AK$3&lt;=$I29),1,"")</f>
        <v/>
      </c>
      <c r="AL29" s="15" t="str">
        <f aca="false">IF(AND(AL$3&gt;=$H29,AL$3&lt;=$I29),1,"")</f>
        <v/>
      </c>
      <c r="AM29" s="15" t="str">
        <f aca="false">IF(AND(AM$3&gt;=$H29,AM$3&lt;=$I29),1,"")</f>
        <v/>
      </c>
      <c r="AN29" s="15" t="str">
        <f aca="false">IF(AND(AN$3&gt;=$H29,AN$3&lt;=$I29),1,"")</f>
        <v/>
      </c>
      <c r="AO29" s="15" t="str">
        <f aca="false">IF(AND(AO$3&gt;=$H29,AO$3&lt;=$I29),1,"")</f>
        <v/>
      </c>
      <c r="AP29" s="15" t="str">
        <f aca="false">IF(AND(AP$3&gt;=$H29,AP$3&lt;=$I29),1,"")</f>
        <v/>
      </c>
      <c r="AQ29" s="15" t="str">
        <f aca="false">IF(AND(AQ$3&gt;=$H29,AQ$3&lt;=$I29),1,"")</f>
        <v/>
      </c>
      <c r="AR29" s="15" t="str">
        <f aca="false">IF(AND(AR$3&gt;=$H29,AR$3&lt;=$I29),1,"")</f>
        <v/>
      </c>
    </row>
    <row r="30" customFormat="false" ht="15" hidden="false" customHeight="false" outlineLevel="0" collapsed="false">
      <c r="A30" s="10" t="s">
        <v>88</v>
      </c>
      <c r="B30" s="10" t="s">
        <v>100</v>
      </c>
      <c r="C30" s="10" t="s">
        <v>101</v>
      </c>
      <c r="D30" s="10"/>
      <c r="E30" s="11" t="n">
        <v>0.5</v>
      </c>
      <c r="F30" s="11" t="n">
        <v>0</v>
      </c>
      <c r="G30" s="10" t="s">
        <v>41</v>
      </c>
      <c r="H30" s="12" t="n">
        <v>14</v>
      </c>
      <c r="I30" s="12" t="n">
        <v>14</v>
      </c>
      <c r="J30" s="13" t="n">
        <f aca="false">INDEX(Calendario!$B$2:$B$31,MATCH(H30,Calendario!$A$2:$A$31,0))</f>
        <v>46336</v>
      </c>
      <c r="K30" s="13" t="n">
        <f aca="false">INDEX(Calendario!$B$2:$B$31,MATCH(I30,Calendario!$A$2:$A$31,0))</f>
        <v>46336</v>
      </c>
      <c r="L30" s="14" t="s">
        <v>38</v>
      </c>
      <c r="M30" s="13"/>
      <c r="N30" s="13"/>
      <c r="O30" s="15" t="str">
        <f aca="false">IF(AND(O$3&gt;=$H30,O$3&lt;=$I30),1,"")</f>
        <v/>
      </c>
      <c r="P30" s="15" t="str">
        <f aca="false">IF(AND(P$3&gt;=$H30,P$3&lt;=$I30),1,"")</f>
        <v/>
      </c>
      <c r="Q30" s="15" t="str">
        <f aca="false">IF(AND(Q$3&gt;=$H30,Q$3&lt;=$I30),1,"")</f>
        <v/>
      </c>
      <c r="R30" s="15" t="str">
        <f aca="false">IF(AND(R$3&gt;=$H30,R$3&lt;=$I30),1,"")</f>
        <v/>
      </c>
      <c r="S30" s="15" t="str">
        <f aca="false">IF(AND(S$3&gt;=$H30,S$3&lt;=$I30),1,"")</f>
        <v/>
      </c>
      <c r="T30" s="15" t="str">
        <f aca="false">IF(AND(T$3&gt;=$H30,T$3&lt;=$I30),1,"")</f>
        <v/>
      </c>
      <c r="U30" s="15" t="str">
        <f aca="false">IF(AND(U$3&gt;=$H30,U$3&lt;=$I30),1,"")</f>
        <v/>
      </c>
      <c r="V30" s="15" t="str">
        <f aca="false">IF(AND(V$3&gt;=$H30,V$3&lt;=$I30),1,"")</f>
        <v/>
      </c>
      <c r="W30" s="15" t="str">
        <f aca="false">IF(AND(W$3&gt;=$H30,W$3&lt;=$I30),1,"")</f>
        <v/>
      </c>
      <c r="X30" s="15" t="str">
        <f aca="false">IF(AND(X$3&gt;=$H30,X$3&lt;=$I30),1,"")</f>
        <v/>
      </c>
      <c r="Y30" s="15" t="str">
        <f aca="false">IF(AND(Y$3&gt;=$H30,Y$3&lt;=$I30),1,"")</f>
        <v/>
      </c>
      <c r="Z30" s="15" t="str">
        <f aca="false">IF(AND(Z$3&gt;=$H30,Z$3&lt;=$I30),1,"")</f>
        <v/>
      </c>
      <c r="AA30" s="15" t="str">
        <f aca="false">IF(AND(AA$3&gt;=$H30,AA$3&lt;=$I30),1,"")</f>
        <v/>
      </c>
      <c r="AB30" s="15" t="n">
        <f aca="false">IF(AND(AB$3&gt;=$H30,AB$3&lt;=$I30),1,"")</f>
        <v>1</v>
      </c>
      <c r="AC30" s="15" t="str">
        <f aca="false">IF(AND(AC$3&gt;=$H30,AC$3&lt;=$I30),1,"")</f>
        <v/>
      </c>
      <c r="AD30" s="15" t="str">
        <f aca="false">IF(AND(AD$3&gt;=$H30,AD$3&lt;=$I30),1,"")</f>
        <v/>
      </c>
      <c r="AE30" s="15" t="str">
        <f aca="false">IF(AND(AE$3&gt;=$H30,AE$3&lt;=$I30),1,"")</f>
        <v/>
      </c>
      <c r="AF30" s="15" t="str">
        <f aca="false">IF(AND(AF$3&gt;=$H30,AF$3&lt;=$I30),1,"")</f>
        <v/>
      </c>
      <c r="AG30" s="15" t="str">
        <f aca="false">IF(AND(AG$3&gt;=$H30,AG$3&lt;=$I30),1,"")</f>
        <v/>
      </c>
      <c r="AH30" s="15" t="str">
        <f aca="false">IF(AND(AH$3&gt;=$H30,AH$3&lt;=$I30),1,"")</f>
        <v/>
      </c>
      <c r="AI30" s="15" t="str">
        <f aca="false">IF(AND(AI$3&gt;=$H30,AI$3&lt;=$I30),1,"")</f>
        <v/>
      </c>
      <c r="AJ30" s="15" t="str">
        <f aca="false">IF(AND(AJ$3&gt;=$H30,AJ$3&lt;=$I30),1,"")</f>
        <v/>
      </c>
      <c r="AK30" s="15" t="str">
        <f aca="false">IF(AND(AK$3&gt;=$H30,AK$3&lt;=$I30),1,"")</f>
        <v/>
      </c>
      <c r="AL30" s="15" t="str">
        <f aca="false">IF(AND(AL$3&gt;=$H30,AL$3&lt;=$I30),1,"")</f>
        <v/>
      </c>
      <c r="AM30" s="15" t="str">
        <f aca="false">IF(AND(AM$3&gt;=$H30,AM$3&lt;=$I30),1,"")</f>
        <v/>
      </c>
      <c r="AN30" s="15" t="str">
        <f aca="false">IF(AND(AN$3&gt;=$H30,AN$3&lt;=$I30),1,"")</f>
        <v/>
      </c>
      <c r="AO30" s="15" t="str">
        <f aca="false">IF(AND(AO$3&gt;=$H30,AO$3&lt;=$I30),1,"")</f>
        <v/>
      </c>
      <c r="AP30" s="15" t="str">
        <f aca="false">IF(AND(AP$3&gt;=$H30,AP$3&lt;=$I30),1,"")</f>
        <v/>
      </c>
      <c r="AQ30" s="15" t="str">
        <f aca="false">IF(AND(AQ$3&gt;=$H30,AQ$3&lt;=$I30),1,"")</f>
        <v/>
      </c>
      <c r="AR30" s="15" t="str">
        <f aca="false">IF(AND(AR$3&gt;=$H30,AR$3&lt;=$I30),1,"")</f>
        <v/>
      </c>
    </row>
    <row r="31" customFormat="false" ht="15" hidden="false" customHeight="false" outlineLevel="0" collapsed="false">
      <c r="A31" s="10" t="s">
        <v>88</v>
      </c>
      <c r="B31" s="10" t="s">
        <v>102</v>
      </c>
      <c r="C31" s="10" t="s">
        <v>103</v>
      </c>
      <c r="D31" s="10" t="s">
        <v>104</v>
      </c>
      <c r="E31" s="11" t="n">
        <v>1</v>
      </c>
      <c r="F31" s="11" t="n">
        <v>0.5</v>
      </c>
      <c r="G31" s="10" t="s">
        <v>37</v>
      </c>
      <c r="H31" s="12" t="n">
        <v>14</v>
      </c>
      <c r="I31" s="12" t="n">
        <v>15</v>
      </c>
      <c r="J31" s="13" t="n">
        <f aca="false">INDEX(Calendario!$B$2:$B$31,MATCH(H31,Calendario!$A$2:$A$31,0))</f>
        <v>46336</v>
      </c>
      <c r="K31" s="13" t="n">
        <f aca="false">INDEX(Calendario!$B$2:$B$31,MATCH(I31,Calendario!$A$2:$A$31,0))</f>
        <v>46337</v>
      </c>
      <c r="L31" s="14" t="s">
        <v>38</v>
      </c>
      <c r="M31" s="13"/>
      <c r="N31" s="13"/>
      <c r="O31" s="15" t="str">
        <f aca="false">IF(AND(O$3&gt;=$H31,O$3&lt;=$I31),1,"")</f>
        <v/>
      </c>
      <c r="P31" s="15" t="str">
        <f aca="false">IF(AND(P$3&gt;=$H31,P$3&lt;=$I31),1,"")</f>
        <v/>
      </c>
      <c r="Q31" s="15" t="str">
        <f aca="false">IF(AND(Q$3&gt;=$H31,Q$3&lt;=$I31),1,"")</f>
        <v/>
      </c>
      <c r="R31" s="15" t="str">
        <f aca="false">IF(AND(R$3&gt;=$H31,R$3&lt;=$I31),1,"")</f>
        <v/>
      </c>
      <c r="S31" s="15" t="str">
        <f aca="false">IF(AND(S$3&gt;=$H31,S$3&lt;=$I31),1,"")</f>
        <v/>
      </c>
      <c r="T31" s="15" t="str">
        <f aca="false">IF(AND(T$3&gt;=$H31,T$3&lt;=$I31),1,"")</f>
        <v/>
      </c>
      <c r="U31" s="15" t="str">
        <f aca="false">IF(AND(U$3&gt;=$H31,U$3&lt;=$I31),1,"")</f>
        <v/>
      </c>
      <c r="V31" s="15" t="str">
        <f aca="false">IF(AND(V$3&gt;=$H31,V$3&lt;=$I31),1,"")</f>
        <v/>
      </c>
      <c r="W31" s="15" t="str">
        <f aca="false">IF(AND(W$3&gt;=$H31,W$3&lt;=$I31),1,"")</f>
        <v/>
      </c>
      <c r="X31" s="15" t="str">
        <f aca="false">IF(AND(X$3&gt;=$H31,X$3&lt;=$I31),1,"")</f>
        <v/>
      </c>
      <c r="Y31" s="15" t="str">
        <f aca="false">IF(AND(Y$3&gt;=$H31,Y$3&lt;=$I31),1,"")</f>
        <v/>
      </c>
      <c r="Z31" s="15" t="str">
        <f aca="false">IF(AND(Z$3&gt;=$H31,Z$3&lt;=$I31),1,"")</f>
        <v/>
      </c>
      <c r="AA31" s="15" t="str">
        <f aca="false">IF(AND(AA$3&gt;=$H31,AA$3&lt;=$I31),1,"")</f>
        <v/>
      </c>
      <c r="AB31" s="15" t="n">
        <f aca="false">IF(AND(AB$3&gt;=$H31,AB$3&lt;=$I31),1,"")</f>
        <v>1</v>
      </c>
      <c r="AC31" s="15" t="n">
        <f aca="false">IF(AND(AC$3&gt;=$H31,AC$3&lt;=$I31),1,"")</f>
        <v>1</v>
      </c>
      <c r="AD31" s="15" t="str">
        <f aca="false">IF(AND(AD$3&gt;=$H31,AD$3&lt;=$I31),1,"")</f>
        <v/>
      </c>
      <c r="AE31" s="15" t="str">
        <f aca="false">IF(AND(AE$3&gt;=$H31,AE$3&lt;=$I31),1,"")</f>
        <v/>
      </c>
      <c r="AF31" s="15" t="str">
        <f aca="false">IF(AND(AF$3&gt;=$H31,AF$3&lt;=$I31),1,"")</f>
        <v/>
      </c>
      <c r="AG31" s="15" t="str">
        <f aca="false">IF(AND(AG$3&gt;=$H31,AG$3&lt;=$I31),1,"")</f>
        <v/>
      </c>
      <c r="AH31" s="15" t="str">
        <f aca="false">IF(AND(AH$3&gt;=$H31,AH$3&lt;=$I31),1,"")</f>
        <v/>
      </c>
      <c r="AI31" s="15" t="str">
        <f aca="false">IF(AND(AI$3&gt;=$H31,AI$3&lt;=$I31),1,"")</f>
        <v/>
      </c>
      <c r="AJ31" s="15" t="str">
        <f aca="false">IF(AND(AJ$3&gt;=$H31,AJ$3&lt;=$I31),1,"")</f>
        <v/>
      </c>
      <c r="AK31" s="15" t="str">
        <f aca="false">IF(AND(AK$3&gt;=$H31,AK$3&lt;=$I31),1,"")</f>
        <v/>
      </c>
      <c r="AL31" s="15" t="str">
        <f aca="false">IF(AND(AL$3&gt;=$H31,AL$3&lt;=$I31),1,"")</f>
        <v/>
      </c>
      <c r="AM31" s="15" t="str">
        <f aca="false">IF(AND(AM$3&gt;=$H31,AM$3&lt;=$I31),1,"")</f>
        <v/>
      </c>
      <c r="AN31" s="15" t="str">
        <f aca="false">IF(AND(AN$3&gt;=$H31,AN$3&lt;=$I31),1,"")</f>
        <v/>
      </c>
      <c r="AO31" s="15" t="str">
        <f aca="false">IF(AND(AO$3&gt;=$H31,AO$3&lt;=$I31),1,"")</f>
        <v/>
      </c>
      <c r="AP31" s="15" t="str">
        <f aca="false">IF(AND(AP$3&gt;=$H31,AP$3&lt;=$I31),1,"")</f>
        <v/>
      </c>
      <c r="AQ31" s="15" t="str">
        <f aca="false">IF(AND(AQ$3&gt;=$H31,AQ$3&lt;=$I31),1,"")</f>
        <v/>
      </c>
      <c r="AR31" s="15" t="str">
        <f aca="false">IF(AND(AR$3&gt;=$H31,AR$3&lt;=$I31),1,"")</f>
        <v/>
      </c>
    </row>
    <row r="32" customFormat="false" ht="15" hidden="false" customHeight="false" outlineLevel="0" collapsed="false">
      <c r="A32" s="10" t="s">
        <v>88</v>
      </c>
      <c r="B32" s="10" t="s">
        <v>105</v>
      </c>
      <c r="C32" s="10" t="s">
        <v>106</v>
      </c>
      <c r="D32" s="10"/>
      <c r="E32" s="11" t="n">
        <v>0</v>
      </c>
      <c r="F32" s="11" t="n">
        <v>0.5</v>
      </c>
      <c r="G32" s="10" t="s">
        <v>44</v>
      </c>
      <c r="H32" s="12" t="n">
        <v>14</v>
      </c>
      <c r="I32" s="12" t="n">
        <v>14</v>
      </c>
      <c r="J32" s="13" t="n">
        <f aca="false">INDEX(Calendario!$B$2:$B$31,MATCH(H32,Calendario!$A$2:$A$31,0))</f>
        <v>46336</v>
      </c>
      <c r="K32" s="13" t="n">
        <f aca="false">INDEX(Calendario!$B$2:$B$31,MATCH(I32,Calendario!$A$2:$A$31,0))</f>
        <v>46336</v>
      </c>
      <c r="L32" s="14" t="s">
        <v>38</v>
      </c>
      <c r="M32" s="13"/>
      <c r="N32" s="13"/>
      <c r="O32" s="15" t="str">
        <f aca="false">IF(AND(O$3&gt;=$H32,O$3&lt;=$I32),1,"")</f>
        <v/>
      </c>
      <c r="P32" s="15" t="str">
        <f aca="false">IF(AND(P$3&gt;=$H32,P$3&lt;=$I32),1,"")</f>
        <v/>
      </c>
      <c r="Q32" s="15" t="str">
        <f aca="false">IF(AND(Q$3&gt;=$H32,Q$3&lt;=$I32),1,"")</f>
        <v/>
      </c>
      <c r="R32" s="15" t="str">
        <f aca="false">IF(AND(R$3&gt;=$H32,R$3&lt;=$I32),1,"")</f>
        <v/>
      </c>
      <c r="S32" s="15" t="str">
        <f aca="false">IF(AND(S$3&gt;=$H32,S$3&lt;=$I32),1,"")</f>
        <v/>
      </c>
      <c r="T32" s="15" t="str">
        <f aca="false">IF(AND(T$3&gt;=$H32,T$3&lt;=$I32),1,"")</f>
        <v/>
      </c>
      <c r="U32" s="15" t="str">
        <f aca="false">IF(AND(U$3&gt;=$H32,U$3&lt;=$I32),1,"")</f>
        <v/>
      </c>
      <c r="V32" s="15" t="str">
        <f aca="false">IF(AND(V$3&gt;=$H32,V$3&lt;=$I32),1,"")</f>
        <v/>
      </c>
      <c r="W32" s="15" t="str">
        <f aca="false">IF(AND(W$3&gt;=$H32,W$3&lt;=$I32),1,"")</f>
        <v/>
      </c>
      <c r="X32" s="15" t="str">
        <f aca="false">IF(AND(X$3&gt;=$H32,X$3&lt;=$I32),1,"")</f>
        <v/>
      </c>
      <c r="Y32" s="15" t="str">
        <f aca="false">IF(AND(Y$3&gt;=$H32,Y$3&lt;=$I32),1,"")</f>
        <v/>
      </c>
      <c r="Z32" s="15" t="str">
        <f aca="false">IF(AND(Z$3&gt;=$H32,Z$3&lt;=$I32),1,"")</f>
        <v/>
      </c>
      <c r="AA32" s="15" t="str">
        <f aca="false">IF(AND(AA$3&gt;=$H32,AA$3&lt;=$I32),1,"")</f>
        <v/>
      </c>
      <c r="AB32" s="15" t="n">
        <f aca="false">IF(AND(AB$3&gt;=$H32,AB$3&lt;=$I32),1,"")</f>
        <v>1</v>
      </c>
      <c r="AC32" s="15" t="str">
        <f aca="false">IF(AND(AC$3&gt;=$H32,AC$3&lt;=$I32),1,"")</f>
        <v/>
      </c>
      <c r="AD32" s="15" t="str">
        <f aca="false">IF(AND(AD$3&gt;=$H32,AD$3&lt;=$I32),1,"")</f>
        <v/>
      </c>
      <c r="AE32" s="15" t="str">
        <f aca="false">IF(AND(AE$3&gt;=$H32,AE$3&lt;=$I32),1,"")</f>
        <v/>
      </c>
      <c r="AF32" s="15" t="str">
        <f aca="false">IF(AND(AF$3&gt;=$H32,AF$3&lt;=$I32),1,"")</f>
        <v/>
      </c>
      <c r="AG32" s="15" t="str">
        <f aca="false">IF(AND(AG$3&gt;=$H32,AG$3&lt;=$I32),1,"")</f>
        <v/>
      </c>
      <c r="AH32" s="15" t="str">
        <f aca="false">IF(AND(AH$3&gt;=$H32,AH$3&lt;=$I32),1,"")</f>
        <v/>
      </c>
      <c r="AI32" s="15" t="str">
        <f aca="false">IF(AND(AI$3&gt;=$H32,AI$3&lt;=$I32),1,"")</f>
        <v/>
      </c>
      <c r="AJ32" s="15" t="str">
        <f aca="false">IF(AND(AJ$3&gt;=$H32,AJ$3&lt;=$I32),1,"")</f>
        <v/>
      </c>
      <c r="AK32" s="15" t="str">
        <f aca="false">IF(AND(AK$3&gt;=$H32,AK$3&lt;=$I32),1,"")</f>
        <v/>
      </c>
      <c r="AL32" s="15" t="str">
        <f aca="false">IF(AND(AL$3&gt;=$H32,AL$3&lt;=$I32),1,"")</f>
        <v/>
      </c>
      <c r="AM32" s="15" t="str">
        <f aca="false">IF(AND(AM$3&gt;=$H32,AM$3&lt;=$I32),1,"")</f>
        <v/>
      </c>
      <c r="AN32" s="15" t="str">
        <f aca="false">IF(AND(AN$3&gt;=$H32,AN$3&lt;=$I32),1,"")</f>
        <v/>
      </c>
      <c r="AO32" s="15" t="str">
        <f aca="false">IF(AND(AO$3&gt;=$H32,AO$3&lt;=$I32),1,"")</f>
        <v/>
      </c>
      <c r="AP32" s="15" t="str">
        <f aca="false">IF(AND(AP$3&gt;=$H32,AP$3&lt;=$I32),1,"")</f>
        <v/>
      </c>
      <c r="AQ32" s="15" t="str">
        <f aca="false">IF(AND(AQ$3&gt;=$H32,AQ$3&lt;=$I32),1,"")</f>
        <v/>
      </c>
      <c r="AR32" s="15" t="str">
        <f aca="false">IF(AND(AR$3&gt;=$H32,AR$3&lt;=$I32),1,"")</f>
        <v/>
      </c>
    </row>
    <row r="33" customFormat="false" ht="15" hidden="false" customHeight="false" outlineLevel="0" collapsed="false">
      <c r="A33" s="10" t="s">
        <v>88</v>
      </c>
      <c r="B33" s="10" t="s">
        <v>107</v>
      </c>
      <c r="C33" s="10" t="s">
        <v>108</v>
      </c>
      <c r="D33" s="10"/>
      <c r="E33" s="11" t="n">
        <v>0.5</v>
      </c>
      <c r="F33" s="11" t="n">
        <v>0.5</v>
      </c>
      <c r="G33" s="10" t="s">
        <v>37</v>
      </c>
      <c r="H33" s="12" t="n">
        <v>16</v>
      </c>
      <c r="I33" s="12" t="n">
        <v>16</v>
      </c>
      <c r="J33" s="13" t="n">
        <f aca="false">INDEX(Calendario!$B$2:$B$31,MATCH(H33,Calendario!$A$2:$A$31,0))</f>
        <v>46338</v>
      </c>
      <c r="K33" s="13" t="n">
        <f aca="false">INDEX(Calendario!$B$2:$B$31,MATCH(I33,Calendario!$A$2:$A$31,0))</f>
        <v>46338</v>
      </c>
      <c r="L33" s="14" t="s">
        <v>38</v>
      </c>
      <c r="M33" s="13"/>
      <c r="N33" s="13"/>
      <c r="O33" s="15" t="str">
        <f aca="false">IF(AND(O$3&gt;=$H33,O$3&lt;=$I33),1,"")</f>
        <v/>
      </c>
      <c r="P33" s="15" t="str">
        <f aca="false">IF(AND(P$3&gt;=$H33,P$3&lt;=$I33),1,"")</f>
        <v/>
      </c>
      <c r="Q33" s="15" t="str">
        <f aca="false">IF(AND(Q$3&gt;=$H33,Q$3&lt;=$I33),1,"")</f>
        <v/>
      </c>
      <c r="R33" s="15" t="str">
        <f aca="false">IF(AND(R$3&gt;=$H33,R$3&lt;=$I33),1,"")</f>
        <v/>
      </c>
      <c r="S33" s="15" t="str">
        <f aca="false">IF(AND(S$3&gt;=$H33,S$3&lt;=$I33),1,"")</f>
        <v/>
      </c>
      <c r="T33" s="15" t="str">
        <f aca="false">IF(AND(T$3&gt;=$H33,T$3&lt;=$I33),1,"")</f>
        <v/>
      </c>
      <c r="U33" s="15" t="str">
        <f aca="false">IF(AND(U$3&gt;=$H33,U$3&lt;=$I33),1,"")</f>
        <v/>
      </c>
      <c r="V33" s="15" t="str">
        <f aca="false">IF(AND(V$3&gt;=$H33,V$3&lt;=$I33),1,"")</f>
        <v/>
      </c>
      <c r="W33" s="15" t="str">
        <f aca="false">IF(AND(W$3&gt;=$H33,W$3&lt;=$I33),1,"")</f>
        <v/>
      </c>
      <c r="X33" s="15" t="str">
        <f aca="false">IF(AND(X$3&gt;=$H33,X$3&lt;=$I33),1,"")</f>
        <v/>
      </c>
      <c r="Y33" s="15" t="str">
        <f aca="false">IF(AND(Y$3&gt;=$H33,Y$3&lt;=$I33),1,"")</f>
        <v/>
      </c>
      <c r="Z33" s="15" t="str">
        <f aca="false">IF(AND(Z$3&gt;=$H33,Z$3&lt;=$I33),1,"")</f>
        <v/>
      </c>
      <c r="AA33" s="15" t="str">
        <f aca="false">IF(AND(AA$3&gt;=$H33,AA$3&lt;=$I33),1,"")</f>
        <v/>
      </c>
      <c r="AB33" s="15" t="str">
        <f aca="false">IF(AND(AB$3&gt;=$H33,AB$3&lt;=$I33),1,"")</f>
        <v/>
      </c>
      <c r="AC33" s="15" t="str">
        <f aca="false">IF(AND(AC$3&gt;=$H33,AC$3&lt;=$I33),1,"")</f>
        <v/>
      </c>
      <c r="AD33" s="15" t="n">
        <f aca="false">IF(AND(AD$3&gt;=$H33,AD$3&lt;=$I33),1,"")</f>
        <v>1</v>
      </c>
      <c r="AE33" s="15" t="str">
        <f aca="false">IF(AND(AE$3&gt;=$H33,AE$3&lt;=$I33),1,"")</f>
        <v/>
      </c>
      <c r="AF33" s="15" t="str">
        <f aca="false">IF(AND(AF$3&gt;=$H33,AF$3&lt;=$I33),1,"")</f>
        <v/>
      </c>
      <c r="AG33" s="15" t="str">
        <f aca="false">IF(AND(AG$3&gt;=$H33,AG$3&lt;=$I33),1,"")</f>
        <v/>
      </c>
      <c r="AH33" s="15" t="str">
        <f aca="false">IF(AND(AH$3&gt;=$H33,AH$3&lt;=$I33),1,"")</f>
        <v/>
      </c>
      <c r="AI33" s="15" t="str">
        <f aca="false">IF(AND(AI$3&gt;=$H33,AI$3&lt;=$I33),1,"")</f>
        <v/>
      </c>
      <c r="AJ33" s="15" t="str">
        <f aca="false">IF(AND(AJ$3&gt;=$H33,AJ$3&lt;=$I33),1,"")</f>
        <v/>
      </c>
      <c r="AK33" s="15" t="str">
        <f aca="false">IF(AND(AK$3&gt;=$H33,AK$3&lt;=$I33),1,"")</f>
        <v/>
      </c>
      <c r="AL33" s="15" t="str">
        <f aca="false">IF(AND(AL$3&gt;=$H33,AL$3&lt;=$I33),1,"")</f>
        <v/>
      </c>
      <c r="AM33" s="15" t="str">
        <f aca="false">IF(AND(AM$3&gt;=$H33,AM$3&lt;=$I33),1,"")</f>
        <v/>
      </c>
      <c r="AN33" s="15" t="str">
        <f aca="false">IF(AND(AN$3&gt;=$H33,AN$3&lt;=$I33),1,"")</f>
        <v/>
      </c>
      <c r="AO33" s="15" t="str">
        <f aca="false">IF(AND(AO$3&gt;=$H33,AO$3&lt;=$I33),1,"")</f>
        <v/>
      </c>
      <c r="AP33" s="15" t="str">
        <f aca="false">IF(AND(AP$3&gt;=$H33,AP$3&lt;=$I33),1,"")</f>
        <v/>
      </c>
      <c r="AQ33" s="15" t="str">
        <f aca="false">IF(AND(AQ$3&gt;=$H33,AQ$3&lt;=$I33),1,"")</f>
        <v/>
      </c>
      <c r="AR33" s="15" t="str">
        <f aca="false">IF(AND(AR$3&gt;=$H33,AR$3&lt;=$I33),1,"")</f>
        <v/>
      </c>
    </row>
    <row r="34" customFormat="false" ht="15" hidden="false" customHeight="false" outlineLevel="0" collapsed="false">
      <c r="A34" s="10" t="s">
        <v>109</v>
      </c>
      <c r="B34" s="10" t="s">
        <v>110</v>
      </c>
      <c r="C34" s="10" t="s">
        <v>111</v>
      </c>
      <c r="D34" s="10"/>
      <c r="E34" s="11" t="n">
        <v>1.5</v>
      </c>
      <c r="F34" s="11" t="n">
        <v>0</v>
      </c>
      <c r="G34" s="10" t="s">
        <v>41</v>
      </c>
      <c r="H34" s="12" t="n">
        <v>15</v>
      </c>
      <c r="I34" s="12" t="n">
        <v>17</v>
      </c>
      <c r="J34" s="13" t="n">
        <f aca="false">INDEX(Calendario!$B$2:$B$31,MATCH(H34,Calendario!$A$2:$A$31,0))</f>
        <v>46337</v>
      </c>
      <c r="K34" s="13" t="n">
        <f aca="false">INDEX(Calendario!$B$2:$B$31,MATCH(I34,Calendario!$A$2:$A$31,0))</f>
        <v>46339</v>
      </c>
      <c r="L34" s="14" t="s">
        <v>38</v>
      </c>
      <c r="M34" s="13"/>
      <c r="N34" s="13"/>
      <c r="O34" s="15" t="str">
        <f aca="false">IF(AND(O$3&gt;=$H34,O$3&lt;=$I34),1,"")</f>
        <v/>
      </c>
      <c r="P34" s="15" t="str">
        <f aca="false">IF(AND(P$3&gt;=$H34,P$3&lt;=$I34),1,"")</f>
        <v/>
      </c>
      <c r="Q34" s="15" t="str">
        <f aca="false">IF(AND(Q$3&gt;=$H34,Q$3&lt;=$I34),1,"")</f>
        <v/>
      </c>
      <c r="R34" s="15" t="str">
        <f aca="false">IF(AND(R$3&gt;=$H34,R$3&lt;=$I34),1,"")</f>
        <v/>
      </c>
      <c r="S34" s="15" t="str">
        <f aca="false">IF(AND(S$3&gt;=$H34,S$3&lt;=$I34),1,"")</f>
        <v/>
      </c>
      <c r="T34" s="15" t="str">
        <f aca="false">IF(AND(T$3&gt;=$H34,T$3&lt;=$I34),1,"")</f>
        <v/>
      </c>
      <c r="U34" s="15" t="str">
        <f aca="false">IF(AND(U$3&gt;=$H34,U$3&lt;=$I34),1,"")</f>
        <v/>
      </c>
      <c r="V34" s="15" t="str">
        <f aca="false">IF(AND(V$3&gt;=$H34,V$3&lt;=$I34),1,"")</f>
        <v/>
      </c>
      <c r="W34" s="15" t="str">
        <f aca="false">IF(AND(W$3&gt;=$H34,W$3&lt;=$I34),1,"")</f>
        <v/>
      </c>
      <c r="X34" s="15" t="str">
        <f aca="false">IF(AND(X$3&gt;=$H34,X$3&lt;=$I34),1,"")</f>
        <v/>
      </c>
      <c r="Y34" s="15" t="str">
        <f aca="false">IF(AND(Y$3&gt;=$H34,Y$3&lt;=$I34),1,"")</f>
        <v/>
      </c>
      <c r="Z34" s="15" t="str">
        <f aca="false">IF(AND(Z$3&gt;=$H34,Z$3&lt;=$I34),1,"")</f>
        <v/>
      </c>
      <c r="AA34" s="15" t="str">
        <f aca="false">IF(AND(AA$3&gt;=$H34,AA$3&lt;=$I34),1,"")</f>
        <v/>
      </c>
      <c r="AB34" s="15" t="str">
        <f aca="false">IF(AND(AB$3&gt;=$H34,AB$3&lt;=$I34),1,"")</f>
        <v/>
      </c>
      <c r="AC34" s="15" t="n">
        <f aca="false">IF(AND(AC$3&gt;=$H34,AC$3&lt;=$I34),1,"")</f>
        <v>1</v>
      </c>
      <c r="AD34" s="15" t="n">
        <f aca="false">IF(AND(AD$3&gt;=$H34,AD$3&lt;=$I34),1,"")</f>
        <v>1</v>
      </c>
      <c r="AE34" s="15" t="n">
        <f aca="false">IF(AND(AE$3&gt;=$H34,AE$3&lt;=$I34),1,"")</f>
        <v>1</v>
      </c>
      <c r="AF34" s="15" t="str">
        <f aca="false">IF(AND(AF$3&gt;=$H34,AF$3&lt;=$I34),1,"")</f>
        <v/>
      </c>
      <c r="AG34" s="15" t="str">
        <f aca="false">IF(AND(AG$3&gt;=$H34,AG$3&lt;=$I34),1,"")</f>
        <v/>
      </c>
      <c r="AH34" s="15" t="str">
        <f aca="false">IF(AND(AH$3&gt;=$H34,AH$3&lt;=$I34),1,"")</f>
        <v/>
      </c>
      <c r="AI34" s="15" t="str">
        <f aca="false">IF(AND(AI$3&gt;=$H34,AI$3&lt;=$I34),1,"")</f>
        <v/>
      </c>
      <c r="AJ34" s="15" t="str">
        <f aca="false">IF(AND(AJ$3&gt;=$H34,AJ$3&lt;=$I34),1,"")</f>
        <v/>
      </c>
      <c r="AK34" s="15" t="str">
        <f aca="false">IF(AND(AK$3&gt;=$H34,AK$3&lt;=$I34),1,"")</f>
        <v/>
      </c>
      <c r="AL34" s="15" t="str">
        <f aca="false">IF(AND(AL$3&gt;=$H34,AL$3&lt;=$I34),1,"")</f>
        <v/>
      </c>
      <c r="AM34" s="15" t="str">
        <f aca="false">IF(AND(AM$3&gt;=$H34,AM$3&lt;=$I34),1,"")</f>
        <v/>
      </c>
      <c r="AN34" s="15" t="str">
        <f aca="false">IF(AND(AN$3&gt;=$H34,AN$3&lt;=$I34),1,"")</f>
        <v/>
      </c>
      <c r="AO34" s="15" t="str">
        <f aca="false">IF(AND(AO$3&gt;=$H34,AO$3&lt;=$I34),1,"")</f>
        <v/>
      </c>
      <c r="AP34" s="15" t="str">
        <f aca="false">IF(AND(AP$3&gt;=$H34,AP$3&lt;=$I34),1,"")</f>
        <v/>
      </c>
      <c r="AQ34" s="15" t="str">
        <f aca="false">IF(AND(AQ$3&gt;=$H34,AQ$3&lt;=$I34),1,"")</f>
        <v/>
      </c>
      <c r="AR34" s="15" t="str">
        <f aca="false">IF(AND(AR$3&gt;=$H34,AR$3&lt;=$I34),1,"")</f>
        <v/>
      </c>
    </row>
    <row r="35" customFormat="false" ht="15" hidden="false" customHeight="false" outlineLevel="0" collapsed="false">
      <c r="A35" s="10" t="s">
        <v>109</v>
      </c>
      <c r="B35" s="10" t="s">
        <v>112</v>
      </c>
      <c r="C35" s="10" t="s">
        <v>113</v>
      </c>
      <c r="D35" s="10"/>
      <c r="E35" s="11" t="n">
        <v>0</v>
      </c>
      <c r="F35" s="11" t="n">
        <v>2</v>
      </c>
      <c r="G35" s="10" t="s">
        <v>44</v>
      </c>
      <c r="H35" s="12" t="n">
        <v>15</v>
      </c>
      <c r="I35" s="12" t="n">
        <v>17</v>
      </c>
      <c r="J35" s="13" t="n">
        <f aca="false">INDEX(Calendario!$B$2:$B$31,MATCH(H35,Calendario!$A$2:$A$31,0))</f>
        <v>46337</v>
      </c>
      <c r="K35" s="13" t="n">
        <f aca="false">INDEX(Calendario!$B$2:$B$31,MATCH(I35,Calendario!$A$2:$A$31,0))</f>
        <v>46339</v>
      </c>
      <c r="L35" s="14" t="s">
        <v>38</v>
      </c>
      <c r="M35" s="13"/>
      <c r="N35" s="13"/>
      <c r="O35" s="15" t="str">
        <f aca="false">IF(AND(O$3&gt;=$H35,O$3&lt;=$I35),1,"")</f>
        <v/>
      </c>
      <c r="P35" s="15" t="str">
        <f aca="false">IF(AND(P$3&gt;=$H35,P$3&lt;=$I35),1,"")</f>
        <v/>
      </c>
      <c r="Q35" s="15" t="str">
        <f aca="false">IF(AND(Q$3&gt;=$H35,Q$3&lt;=$I35),1,"")</f>
        <v/>
      </c>
      <c r="R35" s="15" t="str">
        <f aca="false">IF(AND(R$3&gt;=$H35,R$3&lt;=$I35),1,"")</f>
        <v/>
      </c>
      <c r="S35" s="15" t="str">
        <f aca="false">IF(AND(S$3&gt;=$H35,S$3&lt;=$I35),1,"")</f>
        <v/>
      </c>
      <c r="T35" s="15" t="str">
        <f aca="false">IF(AND(T$3&gt;=$H35,T$3&lt;=$I35),1,"")</f>
        <v/>
      </c>
      <c r="U35" s="15" t="str">
        <f aca="false">IF(AND(U$3&gt;=$H35,U$3&lt;=$I35),1,"")</f>
        <v/>
      </c>
      <c r="V35" s="15" t="str">
        <f aca="false">IF(AND(V$3&gt;=$H35,V$3&lt;=$I35),1,"")</f>
        <v/>
      </c>
      <c r="W35" s="15" t="str">
        <f aca="false">IF(AND(W$3&gt;=$H35,W$3&lt;=$I35),1,"")</f>
        <v/>
      </c>
      <c r="X35" s="15" t="str">
        <f aca="false">IF(AND(X$3&gt;=$H35,X$3&lt;=$I35),1,"")</f>
        <v/>
      </c>
      <c r="Y35" s="15" t="str">
        <f aca="false">IF(AND(Y$3&gt;=$H35,Y$3&lt;=$I35),1,"")</f>
        <v/>
      </c>
      <c r="Z35" s="15" t="str">
        <f aca="false">IF(AND(Z$3&gt;=$H35,Z$3&lt;=$I35),1,"")</f>
        <v/>
      </c>
      <c r="AA35" s="15" t="str">
        <f aca="false">IF(AND(AA$3&gt;=$H35,AA$3&lt;=$I35),1,"")</f>
        <v/>
      </c>
      <c r="AB35" s="15" t="str">
        <f aca="false">IF(AND(AB$3&gt;=$H35,AB$3&lt;=$I35),1,"")</f>
        <v/>
      </c>
      <c r="AC35" s="15" t="n">
        <f aca="false">IF(AND(AC$3&gt;=$H35,AC$3&lt;=$I35),1,"")</f>
        <v>1</v>
      </c>
      <c r="AD35" s="15" t="n">
        <f aca="false">IF(AND(AD$3&gt;=$H35,AD$3&lt;=$I35),1,"")</f>
        <v>1</v>
      </c>
      <c r="AE35" s="15" t="n">
        <f aca="false">IF(AND(AE$3&gt;=$H35,AE$3&lt;=$I35),1,"")</f>
        <v>1</v>
      </c>
      <c r="AF35" s="15" t="str">
        <f aca="false">IF(AND(AF$3&gt;=$H35,AF$3&lt;=$I35),1,"")</f>
        <v/>
      </c>
      <c r="AG35" s="15" t="str">
        <f aca="false">IF(AND(AG$3&gt;=$H35,AG$3&lt;=$I35),1,"")</f>
        <v/>
      </c>
      <c r="AH35" s="15" t="str">
        <f aca="false">IF(AND(AH$3&gt;=$H35,AH$3&lt;=$I35),1,"")</f>
        <v/>
      </c>
      <c r="AI35" s="15" t="str">
        <f aca="false">IF(AND(AI$3&gt;=$H35,AI$3&lt;=$I35),1,"")</f>
        <v/>
      </c>
      <c r="AJ35" s="15" t="str">
        <f aca="false">IF(AND(AJ$3&gt;=$H35,AJ$3&lt;=$I35),1,"")</f>
        <v/>
      </c>
      <c r="AK35" s="15" t="str">
        <f aca="false">IF(AND(AK$3&gt;=$H35,AK$3&lt;=$I35),1,"")</f>
        <v/>
      </c>
      <c r="AL35" s="15" t="str">
        <f aca="false">IF(AND(AL$3&gt;=$H35,AL$3&lt;=$I35),1,"")</f>
        <v/>
      </c>
      <c r="AM35" s="15" t="str">
        <f aca="false">IF(AND(AM$3&gt;=$H35,AM$3&lt;=$I35),1,"")</f>
        <v/>
      </c>
      <c r="AN35" s="15" t="str">
        <f aca="false">IF(AND(AN$3&gt;=$H35,AN$3&lt;=$I35),1,"")</f>
        <v/>
      </c>
      <c r="AO35" s="15" t="str">
        <f aca="false">IF(AND(AO$3&gt;=$H35,AO$3&lt;=$I35),1,"")</f>
        <v/>
      </c>
      <c r="AP35" s="15" t="str">
        <f aca="false">IF(AND(AP$3&gt;=$H35,AP$3&lt;=$I35),1,"")</f>
        <v/>
      </c>
      <c r="AQ35" s="15" t="str">
        <f aca="false">IF(AND(AQ$3&gt;=$H35,AQ$3&lt;=$I35),1,"")</f>
        <v/>
      </c>
      <c r="AR35" s="15" t="str">
        <f aca="false">IF(AND(AR$3&gt;=$H35,AR$3&lt;=$I35),1,"")</f>
        <v/>
      </c>
    </row>
    <row r="36" customFormat="false" ht="15" hidden="false" customHeight="false" outlineLevel="0" collapsed="false">
      <c r="A36" s="10" t="s">
        <v>109</v>
      </c>
      <c r="B36" s="10" t="s">
        <v>114</v>
      </c>
      <c r="C36" s="10" t="s">
        <v>115</v>
      </c>
      <c r="D36" s="10"/>
      <c r="E36" s="11" t="n">
        <v>0.5</v>
      </c>
      <c r="F36" s="11" t="n">
        <v>0</v>
      </c>
      <c r="G36" s="10" t="s">
        <v>41</v>
      </c>
      <c r="H36" s="12" t="n">
        <v>17</v>
      </c>
      <c r="I36" s="12" t="n">
        <v>17</v>
      </c>
      <c r="J36" s="13" t="n">
        <f aca="false">INDEX(Calendario!$B$2:$B$31,MATCH(H36,Calendario!$A$2:$A$31,0))</f>
        <v>46339</v>
      </c>
      <c r="K36" s="13" t="n">
        <f aca="false">INDEX(Calendario!$B$2:$B$31,MATCH(I36,Calendario!$A$2:$A$31,0))</f>
        <v>46339</v>
      </c>
      <c r="L36" s="14" t="s">
        <v>38</v>
      </c>
      <c r="M36" s="13"/>
      <c r="N36" s="13"/>
      <c r="O36" s="15" t="str">
        <f aca="false">IF(AND(O$3&gt;=$H36,O$3&lt;=$I36),1,"")</f>
        <v/>
      </c>
      <c r="P36" s="15" t="str">
        <f aca="false">IF(AND(P$3&gt;=$H36,P$3&lt;=$I36),1,"")</f>
        <v/>
      </c>
      <c r="Q36" s="15" t="str">
        <f aca="false">IF(AND(Q$3&gt;=$H36,Q$3&lt;=$I36),1,"")</f>
        <v/>
      </c>
      <c r="R36" s="15" t="str">
        <f aca="false">IF(AND(R$3&gt;=$H36,R$3&lt;=$I36),1,"")</f>
        <v/>
      </c>
      <c r="S36" s="15" t="str">
        <f aca="false">IF(AND(S$3&gt;=$H36,S$3&lt;=$I36),1,"")</f>
        <v/>
      </c>
      <c r="T36" s="15" t="str">
        <f aca="false">IF(AND(T$3&gt;=$H36,T$3&lt;=$I36),1,"")</f>
        <v/>
      </c>
      <c r="U36" s="15" t="str">
        <f aca="false">IF(AND(U$3&gt;=$H36,U$3&lt;=$I36),1,"")</f>
        <v/>
      </c>
      <c r="V36" s="15" t="str">
        <f aca="false">IF(AND(V$3&gt;=$H36,V$3&lt;=$I36),1,"")</f>
        <v/>
      </c>
      <c r="W36" s="15" t="str">
        <f aca="false">IF(AND(W$3&gt;=$H36,W$3&lt;=$I36),1,"")</f>
        <v/>
      </c>
      <c r="X36" s="15" t="str">
        <f aca="false">IF(AND(X$3&gt;=$H36,X$3&lt;=$I36),1,"")</f>
        <v/>
      </c>
      <c r="Y36" s="15" t="str">
        <f aca="false">IF(AND(Y$3&gt;=$H36,Y$3&lt;=$I36),1,"")</f>
        <v/>
      </c>
      <c r="Z36" s="15" t="str">
        <f aca="false">IF(AND(Z$3&gt;=$H36,Z$3&lt;=$I36),1,"")</f>
        <v/>
      </c>
      <c r="AA36" s="15" t="str">
        <f aca="false">IF(AND(AA$3&gt;=$H36,AA$3&lt;=$I36),1,"")</f>
        <v/>
      </c>
      <c r="AB36" s="15" t="str">
        <f aca="false">IF(AND(AB$3&gt;=$H36,AB$3&lt;=$I36),1,"")</f>
        <v/>
      </c>
      <c r="AC36" s="15" t="str">
        <f aca="false">IF(AND(AC$3&gt;=$H36,AC$3&lt;=$I36),1,"")</f>
        <v/>
      </c>
      <c r="AD36" s="15" t="str">
        <f aca="false">IF(AND(AD$3&gt;=$H36,AD$3&lt;=$I36),1,"")</f>
        <v/>
      </c>
      <c r="AE36" s="15" t="n">
        <f aca="false">IF(AND(AE$3&gt;=$H36,AE$3&lt;=$I36),1,"")</f>
        <v>1</v>
      </c>
      <c r="AF36" s="15" t="str">
        <f aca="false">IF(AND(AF$3&gt;=$H36,AF$3&lt;=$I36),1,"")</f>
        <v/>
      </c>
      <c r="AG36" s="15" t="str">
        <f aca="false">IF(AND(AG$3&gt;=$H36,AG$3&lt;=$I36),1,"")</f>
        <v/>
      </c>
      <c r="AH36" s="15" t="str">
        <f aca="false">IF(AND(AH$3&gt;=$H36,AH$3&lt;=$I36),1,"")</f>
        <v/>
      </c>
      <c r="AI36" s="15" t="str">
        <f aca="false">IF(AND(AI$3&gt;=$H36,AI$3&lt;=$I36),1,"")</f>
        <v/>
      </c>
      <c r="AJ36" s="15" t="str">
        <f aca="false">IF(AND(AJ$3&gt;=$H36,AJ$3&lt;=$I36),1,"")</f>
        <v/>
      </c>
      <c r="AK36" s="15" t="str">
        <f aca="false">IF(AND(AK$3&gt;=$H36,AK$3&lt;=$I36),1,"")</f>
        <v/>
      </c>
      <c r="AL36" s="15" t="str">
        <f aca="false">IF(AND(AL$3&gt;=$H36,AL$3&lt;=$I36),1,"")</f>
        <v/>
      </c>
      <c r="AM36" s="15" t="str">
        <f aca="false">IF(AND(AM$3&gt;=$H36,AM$3&lt;=$I36),1,"")</f>
        <v/>
      </c>
      <c r="AN36" s="15" t="str">
        <f aca="false">IF(AND(AN$3&gt;=$H36,AN$3&lt;=$I36),1,"")</f>
        <v/>
      </c>
      <c r="AO36" s="15" t="str">
        <f aca="false">IF(AND(AO$3&gt;=$H36,AO$3&lt;=$I36),1,"")</f>
        <v/>
      </c>
      <c r="AP36" s="15" t="str">
        <f aca="false">IF(AND(AP$3&gt;=$H36,AP$3&lt;=$I36),1,"")</f>
        <v/>
      </c>
      <c r="AQ36" s="15" t="str">
        <f aca="false">IF(AND(AQ$3&gt;=$H36,AQ$3&lt;=$I36),1,"")</f>
        <v/>
      </c>
      <c r="AR36" s="15" t="str">
        <f aca="false">IF(AND(AR$3&gt;=$H36,AR$3&lt;=$I36),1,"")</f>
        <v/>
      </c>
    </row>
    <row r="37" customFormat="false" ht="15" hidden="false" customHeight="false" outlineLevel="0" collapsed="false">
      <c r="A37" s="10" t="s">
        <v>109</v>
      </c>
      <c r="B37" s="10" t="s">
        <v>116</v>
      </c>
      <c r="C37" s="10" t="s">
        <v>117</v>
      </c>
      <c r="D37" s="10"/>
      <c r="E37" s="11" t="n">
        <v>0</v>
      </c>
      <c r="F37" s="11" t="n">
        <v>1.5</v>
      </c>
      <c r="G37" s="10" t="s">
        <v>44</v>
      </c>
      <c r="H37" s="12" t="n">
        <v>17</v>
      </c>
      <c r="I37" s="12" t="n">
        <v>18</v>
      </c>
      <c r="J37" s="13" t="n">
        <f aca="false">INDEX(Calendario!$B$2:$B$31,MATCH(H37,Calendario!$A$2:$A$31,0))</f>
        <v>46339</v>
      </c>
      <c r="K37" s="13" t="n">
        <f aca="false">INDEX(Calendario!$B$2:$B$31,MATCH(I37,Calendario!$A$2:$A$31,0))</f>
        <v>46340</v>
      </c>
      <c r="L37" s="14" t="s">
        <v>38</v>
      </c>
      <c r="M37" s="13"/>
      <c r="N37" s="13"/>
      <c r="O37" s="15" t="str">
        <f aca="false">IF(AND(O$3&gt;=$H37,O$3&lt;=$I37),1,"")</f>
        <v/>
      </c>
      <c r="P37" s="15" t="str">
        <f aca="false">IF(AND(P$3&gt;=$H37,P$3&lt;=$I37),1,"")</f>
        <v/>
      </c>
      <c r="Q37" s="15" t="str">
        <f aca="false">IF(AND(Q$3&gt;=$H37,Q$3&lt;=$I37),1,"")</f>
        <v/>
      </c>
      <c r="R37" s="15" t="str">
        <f aca="false">IF(AND(R$3&gt;=$H37,R$3&lt;=$I37),1,"")</f>
        <v/>
      </c>
      <c r="S37" s="15" t="str">
        <f aca="false">IF(AND(S$3&gt;=$H37,S$3&lt;=$I37),1,"")</f>
        <v/>
      </c>
      <c r="T37" s="15" t="str">
        <f aca="false">IF(AND(T$3&gt;=$H37,T$3&lt;=$I37),1,"")</f>
        <v/>
      </c>
      <c r="U37" s="15" t="str">
        <f aca="false">IF(AND(U$3&gt;=$H37,U$3&lt;=$I37),1,"")</f>
        <v/>
      </c>
      <c r="V37" s="15" t="str">
        <f aca="false">IF(AND(V$3&gt;=$H37,V$3&lt;=$I37),1,"")</f>
        <v/>
      </c>
      <c r="W37" s="15" t="str">
        <f aca="false">IF(AND(W$3&gt;=$H37,W$3&lt;=$I37),1,"")</f>
        <v/>
      </c>
      <c r="X37" s="15" t="str">
        <f aca="false">IF(AND(X$3&gt;=$H37,X$3&lt;=$I37),1,"")</f>
        <v/>
      </c>
      <c r="Y37" s="15" t="str">
        <f aca="false">IF(AND(Y$3&gt;=$H37,Y$3&lt;=$I37),1,"")</f>
        <v/>
      </c>
      <c r="Z37" s="15" t="str">
        <f aca="false">IF(AND(Z$3&gt;=$H37,Z$3&lt;=$I37),1,"")</f>
        <v/>
      </c>
      <c r="AA37" s="15" t="str">
        <f aca="false">IF(AND(AA$3&gt;=$H37,AA$3&lt;=$I37),1,"")</f>
        <v/>
      </c>
      <c r="AB37" s="15" t="str">
        <f aca="false">IF(AND(AB$3&gt;=$H37,AB$3&lt;=$I37),1,"")</f>
        <v/>
      </c>
      <c r="AC37" s="15" t="str">
        <f aca="false">IF(AND(AC$3&gt;=$H37,AC$3&lt;=$I37),1,"")</f>
        <v/>
      </c>
      <c r="AD37" s="15" t="str">
        <f aca="false">IF(AND(AD$3&gt;=$H37,AD$3&lt;=$I37),1,"")</f>
        <v/>
      </c>
      <c r="AE37" s="15" t="n">
        <f aca="false">IF(AND(AE$3&gt;=$H37,AE$3&lt;=$I37),1,"")</f>
        <v>1</v>
      </c>
      <c r="AF37" s="15" t="n">
        <f aca="false">IF(AND(AF$3&gt;=$H37,AF$3&lt;=$I37),1,"")</f>
        <v>1</v>
      </c>
      <c r="AG37" s="15" t="str">
        <f aca="false">IF(AND(AG$3&gt;=$H37,AG$3&lt;=$I37),1,"")</f>
        <v/>
      </c>
      <c r="AH37" s="15" t="str">
        <f aca="false">IF(AND(AH$3&gt;=$H37,AH$3&lt;=$I37),1,"")</f>
        <v/>
      </c>
      <c r="AI37" s="15" t="str">
        <f aca="false">IF(AND(AI$3&gt;=$H37,AI$3&lt;=$I37),1,"")</f>
        <v/>
      </c>
      <c r="AJ37" s="15" t="str">
        <f aca="false">IF(AND(AJ$3&gt;=$H37,AJ$3&lt;=$I37),1,"")</f>
        <v/>
      </c>
      <c r="AK37" s="15" t="str">
        <f aca="false">IF(AND(AK$3&gt;=$H37,AK$3&lt;=$I37),1,"")</f>
        <v/>
      </c>
      <c r="AL37" s="15" t="str">
        <f aca="false">IF(AND(AL$3&gt;=$H37,AL$3&lt;=$I37),1,"")</f>
        <v/>
      </c>
      <c r="AM37" s="15" t="str">
        <f aca="false">IF(AND(AM$3&gt;=$H37,AM$3&lt;=$I37),1,"")</f>
        <v/>
      </c>
      <c r="AN37" s="15" t="str">
        <f aca="false">IF(AND(AN$3&gt;=$H37,AN$3&lt;=$I37),1,"")</f>
        <v/>
      </c>
      <c r="AO37" s="15" t="str">
        <f aca="false">IF(AND(AO$3&gt;=$H37,AO$3&lt;=$I37),1,"")</f>
        <v/>
      </c>
      <c r="AP37" s="15" t="str">
        <f aca="false">IF(AND(AP$3&gt;=$H37,AP$3&lt;=$I37),1,"")</f>
        <v/>
      </c>
      <c r="AQ37" s="15" t="str">
        <f aca="false">IF(AND(AQ$3&gt;=$H37,AQ$3&lt;=$I37),1,"")</f>
        <v/>
      </c>
      <c r="AR37" s="15" t="str">
        <f aca="false">IF(AND(AR$3&gt;=$H37,AR$3&lt;=$I37),1,"")</f>
        <v/>
      </c>
    </row>
    <row r="38" customFormat="false" ht="15" hidden="false" customHeight="false" outlineLevel="0" collapsed="false">
      <c r="A38" s="10" t="s">
        <v>109</v>
      </c>
      <c r="B38" s="10" t="s">
        <v>118</v>
      </c>
      <c r="C38" s="10" t="s">
        <v>119</v>
      </c>
      <c r="D38" s="10" t="s">
        <v>120</v>
      </c>
      <c r="E38" s="11" t="n">
        <v>1</v>
      </c>
      <c r="F38" s="11" t="n">
        <v>0</v>
      </c>
      <c r="G38" s="10" t="s">
        <v>41</v>
      </c>
      <c r="H38" s="12" t="n">
        <v>18</v>
      </c>
      <c r="I38" s="12" t="n">
        <v>18</v>
      </c>
      <c r="J38" s="13" t="n">
        <f aca="false">INDEX(Calendario!$B$2:$B$31,MATCH(H38,Calendario!$A$2:$A$31,0))</f>
        <v>46340</v>
      </c>
      <c r="K38" s="13" t="n">
        <f aca="false">INDEX(Calendario!$B$2:$B$31,MATCH(I38,Calendario!$A$2:$A$31,0))</f>
        <v>46340</v>
      </c>
      <c r="L38" s="14" t="s">
        <v>38</v>
      </c>
      <c r="M38" s="13"/>
      <c r="N38" s="13"/>
      <c r="O38" s="15" t="str">
        <f aca="false">IF(AND(O$3&gt;=$H38,O$3&lt;=$I38),1,"")</f>
        <v/>
      </c>
      <c r="P38" s="15" t="str">
        <f aca="false">IF(AND(P$3&gt;=$H38,P$3&lt;=$I38),1,"")</f>
        <v/>
      </c>
      <c r="Q38" s="15" t="str">
        <f aca="false">IF(AND(Q$3&gt;=$H38,Q$3&lt;=$I38),1,"")</f>
        <v/>
      </c>
      <c r="R38" s="15" t="str">
        <f aca="false">IF(AND(R$3&gt;=$H38,R$3&lt;=$I38),1,"")</f>
        <v/>
      </c>
      <c r="S38" s="15" t="str">
        <f aca="false">IF(AND(S$3&gt;=$H38,S$3&lt;=$I38),1,"")</f>
        <v/>
      </c>
      <c r="T38" s="15" t="str">
        <f aca="false">IF(AND(T$3&gt;=$H38,T$3&lt;=$I38),1,"")</f>
        <v/>
      </c>
      <c r="U38" s="15" t="str">
        <f aca="false">IF(AND(U$3&gt;=$H38,U$3&lt;=$I38),1,"")</f>
        <v/>
      </c>
      <c r="V38" s="15" t="str">
        <f aca="false">IF(AND(V$3&gt;=$H38,V$3&lt;=$I38),1,"")</f>
        <v/>
      </c>
      <c r="W38" s="15" t="str">
        <f aca="false">IF(AND(W$3&gt;=$H38,W$3&lt;=$I38),1,"")</f>
        <v/>
      </c>
      <c r="X38" s="15" t="str">
        <f aca="false">IF(AND(X$3&gt;=$H38,X$3&lt;=$I38),1,"")</f>
        <v/>
      </c>
      <c r="Y38" s="15" t="str">
        <f aca="false">IF(AND(Y$3&gt;=$H38,Y$3&lt;=$I38),1,"")</f>
        <v/>
      </c>
      <c r="Z38" s="15" t="str">
        <f aca="false">IF(AND(Z$3&gt;=$H38,Z$3&lt;=$I38),1,"")</f>
        <v/>
      </c>
      <c r="AA38" s="15" t="str">
        <f aca="false">IF(AND(AA$3&gt;=$H38,AA$3&lt;=$I38),1,"")</f>
        <v/>
      </c>
      <c r="AB38" s="15" t="str">
        <f aca="false">IF(AND(AB$3&gt;=$H38,AB$3&lt;=$I38),1,"")</f>
        <v/>
      </c>
      <c r="AC38" s="15" t="str">
        <f aca="false">IF(AND(AC$3&gt;=$H38,AC$3&lt;=$I38),1,"")</f>
        <v/>
      </c>
      <c r="AD38" s="15" t="str">
        <f aca="false">IF(AND(AD$3&gt;=$H38,AD$3&lt;=$I38),1,"")</f>
        <v/>
      </c>
      <c r="AE38" s="15" t="str">
        <f aca="false">IF(AND(AE$3&gt;=$H38,AE$3&lt;=$I38),1,"")</f>
        <v/>
      </c>
      <c r="AF38" s="15" t="n">
        <f aca="false">IF(AND(AF$3&gt;=$H38,AF$3&lt;=$I38),1,"")</f>
        <v>1</v>
      </c>
      <c r="AG38" s="15" t="str">
        <f aca="false">IF(AND(AG$3&gt;=$H38,AG$3&lt;=$I38),1,"")</f>
        <v/>
      </c>
      <c r="AH38" s="15" t="str">
        <f aca="false">IF(AND(AH$3&gt;=$H38,AH$3&lt;=$I38),1,"")</f>
        <v/>
      </c>
      <c r="AI38" s="15" t="str">
        <f aca="false">IF(AND(AI$3&gt;=$H38,AI$3&lt;=$I38),1,"")</f>
        <v/>
      </c>
      <c r="AJ38" s="15" t="str">
        <f aca="false">IF(AND(AJ$3&gt;=$H38,AJ$3&lt;=$I38),1,"")</f>
        <v/>
      </c>
      <c r="AK38" s="15" t="str">
        <f aca="false">IF(AND(AK$3&gt;=$H38,AK$3&lt;=$I38),1,"")</f>
        <v/>
      </c>
      <c r="AL38" s="15" t="str">
        <f aca="false">IF(AND(AL$3&gt;=$H38,AL$3&lt;=$I38),1,"")</f>
        <v/>
      </c>
      <c r="AM38" s="15" t="str">
        <f aca="false">IF(AND(AM$3&gt;=$H38,AM$3&lt;=$I38),1,"")</f>
        <v/>
      </c>
      <c r="AN38" s="15" t="str">
        <f aca="false">IF(AND(AN$3&gt;=$H38,AN$3&lt;=$I38),1,"")</f>
        <v/>
      </c>
      <c r="AO38" s="15" t="str">
        <f aca="false">IF(AND(AO$3&gt;=$H38,AO$3&lt;=$I38),1,"")</f>
        <v/>
      </c>
      <c r="AP38" s="15" t="str">
        <f aca="false">IF(AND(AP$3&gt;=$H38,AP$3&lt;=$I38),1,"")</f>
        <v/>
      </c>
      <c r="AQ38" s="15" t="str">
        <f aca="false">IF(AND(AQ$3&gt;=$H38,AQ$3&lt;=$I38),1,"")</f>
        <v/>
      </c>
      <c r="AR38" s="15" t="str">
        <f aca="false">IF(AND(AR$3&gt;=$H38,AR$3&lt;=$I38),1,"")</f>
        <v/>
      </c>
    </row>
    <row r="39" customFormat="false" ht="15" hidden="false" customHeight="false" outlineLevel="0" collapsed="false">
      <c r="A39" s="10" t="s">
        <v>109</v>
      </c>
      <c r="B39" s="10" t="s">
        <v>121</v>
      </c>
      <c r="C39" s="10" t="s">
        <v>122</v>
      </c>
      <c r="D39" s="10"/>
      <c r="E39" s="11" t="n">
        <v>0</v>
      </c>
      <c r="F39" s="11" t="n">
        <v>1</v>
      </c>
      <c r="G39" s="10" t="s">
        <v>44</v>
      </c>
      <c r="H39" s="12" t="n">
        <v>20</v>
      </c>
      <c r="I39" s="12" t="n">
        <v>21</v>
      </c>
      <c r="J39" s="13" t="n">
        <f aca="false">INDEX(Calendario!$B$2:$B$31,MATCH(H39,Calendario!$A$2:$A$31,0))</f>
        <v>46342</v>
      </c>
      <c r="K39" s="13" t="n">
        <f aca="false">INDEX(Calendario!$B$2:$B$31,MATCH(I39,Calendario!$A$2:$A$31,0))</f>
        <v>46343</v>
      </c>
      <c r="L39" s="14" t="s">
        <v>38</v>
      </c>
      <c r="M39" s="13"/>
      <c r="N39" s="13"/>
      <c r="O39" s="15" t="str">
        <f aca="false">IF(AND(O$3&gt;=$H39,O$3&lt;=$I39),1,"")</f>
        <v/>
      </c>
      <c r="P39" s="15" t="str">
        <f aca="false">IF(AND(P$3&gt;=$H39,P$3&lt;=$I39),1,"")</f>
        <v/>
      </c>
      <c r="Q39" s="15" t="str">
        <f aca="false">IF(AND(Q$3&gt;=$H39,Q$3&lt;=$I39),1,"")</f>
        <v/>
      </c>
      <c r="R39" s="15" t="str">
        <f aca="false">IF(AND(R$3&gt;=$H39,R$3&lt;=$I39),1,"")</f>
        <v/>
      </c>
      <c r="S39" s="15" t="str">
        <f aca="false">IF(AND(S$3&gt;=$H39,S$3&lt;=$I39),1,"")</f>
        <v/>
      </c>
      <c r="T39" s="15" t="str">
        <f aca="false">IF(AND(T$3&gt;=$H39,T$3&lt;=$I39),1,"")</f>
        <v/>
      </c>
      <c r="U39" s="15" t="str">
        <f aca="false">IF(AND(U$3&gt;=$H39,U$3&lt;=$I39),1,"")</f>
        <v/>
      </c>
      <c r="V39" s="15" t="str">
        <f aca="false">IF(AND(V$3&gt;=$H39,V$3&lt;=$I39),1,"")</f>
        <v/>
      </c>
      <c r="W39" s="15" t="str">
        <f aca="false">IF(AND(W$3&gt;=$H39,W$3&lt;=$I39),1,"")</f>
        <v/>
      </c>
      <c r="X39" s="15" t="str">
        <f aca="false">IF(AND(X$3&gt;=$H39,X$3&lt;=$I39),1,"")</f>
        <v/>
      </c>
      <c r="Y39" s="15" t="str">
        <f aca="false">IF(AND(Y$3&gt;=$H39,Y$3&lt;=$I39),1,"")</f>
        <v/>
      </c>
      <c r="Z39" s="15" t="str">
        <f aca="false">IF(AND(Z$3&gt;=$H39,Z$3&lt;=$I39),1,"")</f>
        <v/>
      </c>
      <c r="AA39" s="15" t="str">
        <f aca="false">IF(AND(AA$3&gt;=$H39,AA$3&lt;=$I39),1,"")</f>
        <v/>
      </c>
      <c r="AB39" s="15" t="str">
        <f aca="false">IF(AND(AB$3&gt;=$H39,AB$3&lt;=$I39),1,"")</f>
        <v/>
      </c>
      <c r="AC39" s="15" t="str">
        <f aca="false">IF(AND(AC$3&gt;=$H39,AC$3&lt;=$I39),1,"")</f>
        <v/>
      </c>
      <c r="AD39" s="15" t="str">
        <f aca="false">IF(AND(AD$3&gt;=$H39,AD$3&lt;=$I39),1,"")</f>
        <v/>
      </c>
      <c r="AE39" s="15" t="str">
        <f aca="false">IF(AND(AE$3&gt;=$H39,AE$3&lt;=$I39),1,"")</f>
        <v/>
      </c>
      <c r="AF39" s="15" t="str">
        <f aca="false">IF(AND(AF$3&gt;=$H39,AF$3&lt;=$I39),1,"")</f>
        <v/>
      </c>
      <c r="AG39" s="15" t="str">
        <f aca="false">IF(AND(AG$3&gt;=$H39,AG$3&lt;=$I39),1,"")</f>
        <v/>
      </c>
      <c r="AH39" s="15" t="n">
        <f aca="false">IF(AND(AH$3&gt;=$H39,AH$3&lt;=$I39),1,"")</f>
        <v>1</v>
      </c>
      <c r="AI39" s="15" t="n">
        <f aca="false">IF(AND(AI$3&gt;=$H39,AI$3&lt;=$I39),1,"")</f>
        <v>1</v>
      </c>
      <c r="AJ39" s="15" t="str">
        <f aca="false">IF(AND(AJ$3&gt;=$H39,AJ$3&lt;=$I39),1,"")</f>
        <v/>
      </c>
      <c r="AK39" s="15" t="str">
        <f aca="false">IF(AND(AK$3&gt;=$H39,AK$3&lt;=$I39),1,"")</f>
        <v/>
      </c>
      <c r="AL39" s="15" t="str">
        <f aca="false">IF(AND(AL$3&gt;=$H39,AL$3&lt;=$I39),1,"")</f>
        <v/>
      </c>
      <c r="AM39" s="15" t="str">
        <f aca="false">IF(AND(AM$3&gt;=$H39,AM$3&lt;=$I39),1,"")</f>
        <v/>
      </c>
      <c r="AN39" s="15" t="str">
        <f aca="false">IF(AND(AN$3&gt;=$H39,AN$3&lt;=$I39),1,"")</f>
        <v/>
      </c>
      <c r="AO39" s="15" t="str">
        <f aca="false">IF(AND(AO$3&gt;=$H39,AO$3&lt;=$I39),1,"")</f>
        <v/>
      </c>
      <c r="AP39" s="15" t="str">
        <f aca="false">IF(AND(AP$3&gt;=$H39,AP$3&lt;=$I39),1,"")</f>
        <v/>
      </c>
      <c r="AQ39" s="15" t="str">
        <f aca="false">IF(AND(AQ$3&gt;=$H39,AQ$3&lt;=$I39),1,"")</f>
        <v/>
      </c>
      <c r="AR39" s="15" t="str">
        <f aca="false">IF(AND(AR$3&gt;=$H39,AR$3&lt;=$I39),1,"")</f>
        <v/>
      </c>
    </row>
    <row r="40" customFormat="false" ht="15" hidden="false" customHeight="false" outlineLevel="0" collapsed="false">
      <c r="A40" s="10" t="s">
        <v>109</v>
      </c>
      <c r="B40" s="10" t="s">
        <v>123</v>
      </c>
      <c r="C40" s="10" t="s">
        <v>124</v>
      </c>
      <c r="D40" s="10"/>
      <c r="E40" s="11" t="n">
        <v>0.5</v>
      </c>
      <c r="F40" s="11" t="n">
        <v>1</v>
      </c>
      <c r="G40" s="10" t="s">
        <v>37</v>
      </c>
      <c r="H40" s="12" t="n">
        <v>20</v>
      </c>
      <c r="I40" s="12" t="n">
        <v>22</v>
      </c>
      <c r="J40" s="13" t="n">
        <f aca="false">INDEX(Calendario!$B$2:$B$31,MATCH(H40,Calendario!$A$2:$A$31,0))</f>
        <v>46342</v>
      </c>
      <c r="K40" s="13" t="n">
        <f aca="false">INDEX(Calendario!$B$2:$B$31,MATCH(I40,Calendario!$A$2:$A$31,0))</f>
        <v>46344</v>
      </c>
      <c r="L40" s="14" t="s">
        <v>38</v>
      </c>
      <c r="M40" s="13"/>
      <c r="N40" s="13"/>
      <c r="O40" s="15" t="str">
        <f aca="false">IF(AND(O$3&gt;=$H40,O$3&lt;=$I40),1,"")</f>
        <v/>
      </c>
      <c r="P40" s="15" t="str">
        <f aca="false">IF(AND(P$3&gt;=$H40,P$3&lt;=$I40),1,"")</f>
        <v/>
      </c>
      <c r="Q40" s="15" t="str">
        <f aca="false">IF(AND(Q$3&gt;=$H40,Q$3&lt;=$I40),1,"")</f>
        <v/>
      </c>
      <c r="R40" s="15" t="str">
        <f aca="false">IF(AND(R$3&gt;=$H40,R$3&lt;=$I40),1,"")</f>
        <v/>
      </c>
      <c r="S40" s="15" t="str">
        <f aca="false">IF(AND(S$3&gt;=$H40,S$3&lt;=$I40),1,"")</f>
        <v/>
      </c>
      <c r="T40" s="15" t="str">
        <f aca="false">IF(AND(T$3&gt;=$H40,T$3&lt;=$I40),1,"")</f>
        <v/>
      </c>
      <c r="U40" s="15" t="str">
        <f aca="false">IF(AND(U$3&gt;=$H40,U$3&lt;=$I40),1,"")</f>
        <v/>
      </c>
      <c r="V40" s="15" t="str">
        <f aca="false">IF(AND(V$3&gt;=$H40,V$3&lt;=$I40),1,"")</f>
        <v/>
      </c>
      <c r="W40" s="15" t="str">
        <f aca="false">IF(AND(W$3&gt;=$H40,W$3&lt;=$I40),1,"")</f>
        <v/>
      </c>
      <c r="X40" s="15" t="str">
        <f aca="false">IF(AND(X$3&gt;=$H40,X$3&lt;=$I40),1,"")</f>
        <v/>
      </c>
      <c r="Y40" s="15" t="str">
        <f aca="false">IF(AND(Y$3&gt;=$H40,Y$3&lt;=$I40),1,"")</f>
        <v/>
      </c>
      <c r="Z40" s="15" t="str">
        <f aca="false">IF(AND(Z$3&gt;=$H40,Z$3&lt;=$I40),1,"")</f>
        <v/>
      </c>
      <c r="AA40" s="15" t="str">
        <f aca="false">IF(AND(AA$3&gt;=$H40,AA$3&lt;=$I40),1,"")</f>
        <v/>
      </c>
      <c r="AB40" s="15" t="str">
        <f aca="false">IF(AND(AB$3&gt;=$H40,AB$3&lt;=$I40),1,"")</f>
        <v/>
      </c>
      <c r="AC40" s="15" t="str">
        <f aca="false">IF(AND(AC$3&gt;=$H40,AC$3&lt;=$I40),1,"")</f>
        <v/>
      </c>
      <c r="AD40" s="15" t="str">
        <f aca="false">IF(AND(AD$3&gt;=$H40,AD$3&lt;=$I40),1,"")</f>
        <v/>
      </c>
      <c r="AE40" s="15" t="str">
        <f aca="false">IF(AND(AE$3&gt;=$H40,AE$3&lt;=$I40),1,"")</f>
        <v/>
      </c>
      <c r="AF40" s="15" t="str">
        <f aca="false">IF(AND(AF$3&gt;=$H40,AF$3&lt;=$I40),1,"")</f>
        <v/>
      </c>
      <c r="AG40" s="15" t="str">
        <f aca="false">IF(AND(AG$3&gt;=$H40,AG$3&lt;=$I40),1,"")</f>
        <v/>
      </c>
      <c r="AH40" s="15" t="n">
        <f aca="false">IF(AND(AH$3&gt;=$H40,AH$3&lt;=$I40),1,"")</f>
        <v>1</v>
      </c>
      <c r="AI40" s="15" t="n">
        <f aca="false">IF(AND(AI$3&gt;=$H40,AI$3&lt;=$I40),1,"")</f>
        <v>1</v>
      </c>
      <c r="AJ40" s="15" t="n">
        <f aca="false">IF(AND(AJ$3&gt;=$H40,AJ$3&lt;=$I40),1,"")</f>
        <v>1</v>
      </c>
      <c r="AK40" s="15" t="str">
        <f aca="false">IF(AND(AK$3&gt;=$H40,AK$3&lt;=$I40),1,"")</f>
        <v/>
      </c>
      <c r="AL40" s="15" t="str">
        <f aca="false">IF(AND(AL$3&gt;=$H40,AL$3&lt;=$I40),1,"")</f>
        <v/>
      </c>
      <c r="AM40" s="15" t="str">
        <f aca="false">IF(AND(AM$3&gt;=$H40,AM$3&lt;=$I40),1,"")</f>
        <v/>
      </c>
      <c r="AN40" s="15" t="str">
        <f aca="false">IF(AND(AN$3&gt;=$H40,AN$3&lt;=$I40),1,"")</f>
        <v/>
      </c>
      <c r="AO40" s="15" t="str">
        <f aca="false">IF(AND(AO$3&gt;=$H40,AO$3&lt;=$I40),1,"")</f>
        <v/>
      </c>
      <c r="AP40" s="15" t="str">
        <f aca="false">IF(AND(AP$3&gt;=$H40,AP$3&lt;=$I40),1,"")</f>
        <v/>
      </c>
      <c r="AQ40" s="15" t="str">
        <f aca="false">IF(AND(AQ$3&gt;=$H40,AQ$3&lt;=$I40),1,"")</f>
        <v/>
      </c>
      <c r="AR40" s="15" t="str">
        <f aca="false">IF(AND(AR$3&gt;=$H40,AR$3&lt;=$I40),1,"")</f>
        <v/>
      </c>
    </row>
    <row r="41" customFormat="false" ht="15" hidden="false" customHeight="false" outlineLevel="0" collapsed="false">
      <c r="A41" s="10" t="s">
        <v>109</v>
      </c>
      <c r="B41" s="10" t="s">
        <v>125</v>
      </c>
      <c r="C41" s="10" t="s">
        <v>126</v>
      </c>
      <c r="D41" s="10" t="s">
        <v>127</v>
      </c>
      <c r="E41" s="11" t="n">
        <v>0.5</v>
      </c>
      <c r="F41" s="11" t="n">
        <v>0.5</v>
      </c>
      <c r="G41" s="10" t="s">
        <v>37</v>
      </c>
      <c r="H41" s="12" t="n">
        <v>22</v>
      </c>
      <c r="I41" s="12" t="n">
        <v>22</v>
      </c>
      <c r="J41" s="13" t="n">
        <f aca="false">INDEX(Calendario!$B$2:$B$31,MATCH(H41,Calendario!$A$2:$A$31,0))</f>
        <v>46344</v>
      </c>
      <c r="K41" s="13" t="n">
        <f aca="false">INDEX(Calendario!$B$2:$B$31,MATCH(I41,Calendario!$A$2:$A$31,0))</f>
        <v>46344</v>
      </c>
      <c r="L41" s="14" t="s">
        <v>38</v>
      </c>
      <c r="M41" s="13"/>
      <c r="N41" s="13"/>
      <c r="O41" s="15" t="str">
        <f aca="false">IF(AND(O$3&gt;=$H41,O$3&lt;=$I41),1,"")</f>
        <v/>
      </c>
      <c r="P41" s="15" t="str">
        <f aca="false">IF(AND(P$3&gt;=$H41,P$3&lt;=$I41),1,"")</f>
        <v/>
      </c>
      <c r="Q41" s="15" t="str">
        <f aca="false">IF(AND(Q$3&gt;=$H41,Q$3&lt;=$I41),1,"")</f>
        <v/>
      </c>
      <c r="R41" s="15" t="str">
        <f aca="false">IF(AND(R$3&gt;=$H41,R$3&lt;=$I41),1,"")</f>
        <v/>
      </c>
      <c r="S41" s="15" t="str">
        <f aca="false">IF(AND(S$3&gt;=$H41,S$3&lt;=$I41),1,"")</f>
        <v/>
      </c>
      <c r="T41" s="15" t="str">
        <f aca="false">IF(AND(T$3&gt;=$H41,T$3&lt;=$I41),1,"")</f>
        <v/>
      </c>
      <c r="U41" s="15" t="str">
        <f aca="false">IF(AND(U$3&gt;=$H41,U$3&lt;=$I41),1,"")</f>
        <v/>
      </c>
      <c r="V41" s="15" t="str">
        <f aca="false">IF(AND(V$3&gt;=$H41,V$3&lt;=$I41),1,"")</f>
        <v/>
      </c>
      <c r="W41" s="15" t="str">
        <f aca="false">IF(AND(W$3&gt;=$H41,W$3&lt;=$I41),1,"")</f>
        <v/>
      </c>
      <c r="X41" s="15" t="str">
        <f aca="false">IF(AND(X$3&gt;=$H41,X$3&lt;=$I41),1,"")</f>
        <v/>
      </c>
      <c r="Y41" s="15" t="str">
        <f aca="false">IF(AND(Y$3&gt;=$H41,Y$3&lt;=$I41),1,"")</f>
        <v/>
      </c>
      <c r="Z41" s="15" t="str">
        <f aca="false">IF(AND(Z$3&gt;=$H41,Z$3&lt;=$I41),1,"")</f>
        <v/>
      </c>
      <c r="AA41" s="15" t="str">
        <f aca="false">IF(AND(AA$3&gt;=$H41,AA$3&lt;=$I41),1,"")</f>
        <v/>
      </c>
      <c r="AB41" s="15" t="str">
        <f aca="false">IF(AND(AB$3&gt;=$H41,AB$3&lt;=$I41),1,"")</f>
        <v/>
      </c>
      <c r="AC41" s="15" t="str">
        <f aca="false">IF(AND(AC$3&gt;=$H41,AC$3&lt;=$I41),1,"")</f>
        <v/>
      </c>
      <c r="AD41" s="15" t="str">
        <f aca="false">IF(AND(AD$3&gt;=$H41,AD$3&lt;=$I41),1,"")</f>
        <v/>
      </c>
      <c r="AE41" s="15" t="str">
        <f aca="false">IF(AND(AE$3&gt;=$H41,AE$3&lt;=$I41),1,"")</f>
        <v/>
      </c>
      <c r="AF41" s="15" t="str">
        <f aca="false">IF(AND(AF$3&gt;=$H41,AF$3&lt;=$I41),1,"")</f>
        <v/>
      </c>
      <c r="AG41" s="15" t="str">
        <f aca="false">IF(AND(AG$3&gt;=$H41,AG$3&lt;=$I41),1,"")</f>
        <v/>
      </c>
      <c r="AH41" s="15" t="str">
        <f aca="false">IF(AND(AH$3&gt;=$H41,AH$3&lt;=$I41),1,"")</f>
        <v/>
      </c>
      <c r="AI41" s="15" t="str">
        <f aca="false">IF(AND(AI$3&gt;=$H41,AI$3&lt;=$I41),1,"")</f>
        <v/>
      </c>
      <c r="AJ41" s="15" t="n">
        <f aca="false">IF(AND(AJ$3&gt;=$H41,AJ$3&lt;=$I41),1,"")</f>
        <v>1</v>
      </c>
      <c r="AK41" s="15" t="str">
        <f aca="false">IF(AND(AK$3&gt;=$H41,AK$3&lt;=$I41),1,"")</f>
        <v/>
      </c>
      <c r="AL41" s="15" t="str">
        <f aca="false">IF(AND(AL$3&gt;=$H41,AL$3&lt;=$I41),1,"")</f>
        <v/>
      </c>
      <c r="AM41" s="15" t="str">
        <f aca="false">IF(AND(AM$3&gt;=$H41,AM$3&lt;=$I41),1,"")</f>
        <v/>
      </c>
      <c r="AN41" s="15" t="str">
        <f aca="false">IF(AND(AN$3&gt;=$H41,AN$3&lt;=$I41),1,"")</f>
        <v/>
      </c>
      <c r="AO41" s="15" t="str">
        <f aca="false">IF(AND(AO$3&gt;=$H41,AO$3&lt;=$I41),1,"")</f>
        <v/>
      </c>
      <c r="AP41" s="15" t="str">
        <f aca="false">IF(AND(AP$3&gt;=$H41,AP$3&lt;=$I41),1,"")</f>
        <v/>
      </c>
      <c r="AQ41" s="15" t="str">
        <f aca="false">IF(AND(AQ$3&gt;=$H41,AQ$3&lt;=$I41),1,"")</f>
        <v/>
      </c>
      <c r="AR41" s="15" t="str">
        <f aca="false">IF(AND(AR$3&gt;=$H41,AR$3&lt;=$I41),1,"")</f>
        <v/>
      </c>
    </row>
    <row r="42" customFormat="false" ht="15" hidden="false" customHeight="false" outlineLevel="0" collapsed="false">
      <c r="A42" s="10" t="s">
        <v>128</v>
      </c>
      <c r="B42" s="10" t="s">
        <v>129</v>
      </c>
      <c r="C42" s="10" t="s">
        <v>130</v>
      </c>
      <c r="D42" s="10" t="s">
        <v>131</v>
      </c>
      <c r="E42" s="11" t="n">
        <v>0.5</v>
      </c>
      <c r="F42" s="11" t="n">
        <v>0.5</v>
      </c>
      <c r="G42" s="10" t="s">
        <v>37</v>
      </c>
      <c r="H42" s="12" t="n">
        <v>20</v>
      </c>
      <c r="I42" s="12" t="n">
        <v>20</v>
      </c>
      <c r="J42" s="13" t="n">
        <f aca="false">INDEX(Calendario!$B$2:$B$31,MATCH(H42,Calendario!$A$2:$A$31,0))</f>
        <v>46342</v>
      </c>
      <c r="K42" s="13" t="n">
        <f aca="false">INDEX(Calendario!$B$2:$B$31,MATCH(I42,Calendario!$A$2:$A$31,0))</f>
        <v>46342</v>
      </c>
      <c r="L42" s="14" t="s">
        <v>38</v>
      </c>
      <c r="M42" s="13"/>
      <c r="N42" s="13"/>
      <c r="O42" s="15" t="str">
        <f aca="false">IF(AND(O$3&gt;=$H42,O$3&lt;=$I42),1,"")</f>
        <v/>
      </c>
      <c r="P42" s="15" t="str">
        <f aca="false">IF(AND(P$3&gt;=$H42,P$3&lt;=$I42),1,"")</f>
        <v/>
      </c>
      <c r="Q42" s="15" t="str">
        <f aca="false">IF(AND(Q$3&gt;=$H42,Q$3&lt;=$I42),1,"")</f>
        <v/>
      </c>
      <c r="R42" s="15" t="str">
        <f aca="false">IF(AND(R$3&gt;=$H42,R$3&lt;=$I42),1,"")</f>
        <v/>
      </c>
      <c r="S42" s="15" t="str">
        <f aca="false">IF(AND(S$3&gt;=$H42,S$3&lt;=$I42),1,"")</f>
        <v/>
      </c>
      <c r="T42" s="15" t="str">
        <f aca="false">IF(AND(T$3&gt;=$H42,T$3&lt;=$I42),1,"")</f>
        <v/>
      </c>
      <c r="U42" s="15" t="str">
        <f aca="false">IF(AND(U$3&gt;=$H42,U$3&lt;=$I42),1,"")</f>
        <v/>
      </c>
      <c r="V42" s="15" t="str">
        <f aca="false">IF(AND(V$3&gt;=$H42,V$3&lt;=$I42),1,"")</f>
        <v/>
      </c>
      <c r="W42" s="15" t="str">
        <f aca="false">IF(AND(W$3&gt;=$H42,W$3&lt;=$I42),1,"")</f>
        <v/>
      </c>
      <c r="X42" s="15" t="str">
        <f aca="false">IF(AND(X$3&gt;=$H42,X$3&lt;=$I42),1,"")</f>
        <v/>
      </c>
      <c r="Y42" s="15" t="str">
        <f aca="false">IF(AND(Y$3&gt;=$H42,Y$3&lt;=$I42),1,"")</f>
        <v/>
      </c>
      <c r="Z42" s="15" t="str">
        <f aca="false">IF(AND(Z$3&gt;=$H42,Z$3&lt;=$I42),1,"")</f>
        <v/>
      </c>
      <c r="AA42" s="15" t="str">
        <f aca="false">IF(AND(AA$3&gt;=$H42,AA$3&lt;=$I42),1,"")</f>
        <v/>
      </c>
      <c r="AB42" s="15" t="str">
        <f aca="false">IF(AND(AB$3&gt;=$H42,AB$3&lt;=$I42),1,"")</f>
        <v/>
      </c>
      <c r="AC42" s="15" t="str">
        <f aca="false">IF(AND(AC$3&gt;=$H42,AC$3&lt;=$I42),1,"")</f>
        <v/>
      </c>
      <c r="AD42" s="15" t="str">
        <f aca="false">IF(AND(AD$3&gt;=$H42,AD$3&lt;=$I42),1,"")</f>
        <v/>
      </c>
      <c r="AE42" s="15" t="str">
        <f aca="false">IF(AND(AE$3&gt;=$H42,AE$3&lt;=$I42),1,"")</f>
        <v/>
      </c>
      <c r="AF42" s="15" t="str">
        <f aca="false">IF(AND(AF$3&gt;=$H42,AF$3&lt;=$I42),1,"")</f>
        <v/>
      </c>
      <c r="AG42" s="15" t="str">
        <f aca="false">IF(AND(AG$3&gt;=$H42,AG$3&lt;=$I42),1,"")</f>
        <v/>
      </c>
      <c r="AH42" s="15" t="n">
        <f aca="false">IF(AND(AH$3&gt;=$H42,AH$3&lt;=$I42),1,"")</f>
        <v>1</v>
      </c>
      <c r="AI42" s="15" t="str">
        <f aca="false">IF(AND(AI$3&gt;=$H42,AI$3&lt;=$I42),1,"")</f>
        <v/>
      </c>
      <c r="AJ42" s="15" t="str">
        <f aca="false">IF(AND(AJ$3&gt;=$H42,AJ$3&lt;=$I42),1,"")</f>
        <v/>
      </c>
      <c r="AK42" s="15" t="str">
        <f aca="false">IF(AND(AK$3&gt;=$H42,AK$3&lt;=$I42),1,"")</f>
        <v/>
      </c>
      <c r="AL42" s="15" t="str">
        <f aca="false">IF(AND(AL$3&gt;=$H42,AL$3&lt;=$I42),1,"")</f>
        <v/>
      </c>
      <c r="AM42" s="15" t="str">
        <f aca="false">IF(AND(AM$3&gt;=$H42,AM$3&lt;=$I42),1,"")</f>
        <v/>
      </c>
      <c r="AN42" s="15" t="str">
        <f aca="false">IF(AND(AN$3&gt;=$H42,AN$3&lt;=$I42),1,"")</f>
        <v/>
      </c>
      <c r="AO42" s="15" t="str">
        <f aca="false">IF(AND(AO$3&gt;=$H42,AO$3&lt;=$I42),1,"")</f>
        <v/>
      </c>
      <c r="AP42" s="15" t="str">
        <f aca="false">IF(AND(AP$3&gt;=$H42,AP$3&lt;=$I42),1,"")</f>
        <v/>
      </c>
      <c r="AQ42" s="15" t="str">
        <f aca="false">IF(AND(AQ$3&gt;=$H42,AQ$3&lt;=$I42),1,"")</f>
        <v/>
      </c>
      <c r="AR42" s="15" t="str">
        <f aca="false">IF(AND(AR$3&gt;=$H42,AR$3&lt;=$I42),1,"")</f>
        <v/>
      </c>
    </row>
    <row r="43" customFormat="false" ht="15" hidden="false" customHeight="false" outlineLevel="0" collapsed="false">
      <c r="A43" s="10" t="s">
        <v>128</v>
      </c>
      <c r="B43" s="10" t="s">
        <v>132</v>
      </c>
      <c r="C43" s="10" t="s">
        <v>133</v>
      </c>
      <c r="D43" s="10"/>
      <c r="E43" s="11" t="n">
        <v>1</v>
      </c>
      <c r="F43" s="11" t="n">
        <v>0</v>
      </c>
      <c r="G43" s="10" t="s">
        <v>41</v>
      </c>
      <c r="H43" s="12" t="n">
        <v>21</v>
      </c>
      <c r="I43" s="12" t="n">
        <v>21</v>
      </c>
      <c r="J43" s="13" t="n">
        <f aca="false">INDEX(Calendario!$B$2:$B$31,MATCH(H43,Calendario!$A$2:$A$31,0))</f>
        <v>46343</v>
      </c>
      <c r="K43" s="13" t="n">
        <f aca="false">INDEX(Calendario!$B$2:$B$31,MATCH(I43,Calendario!$A$2:$A$31,0))</f>
        <v>46343</v>
      </c>
      <c r="L43" s="14" t="s">
        <v>38</v>
      </c>
      <c r="M43" s="13"/>
      <c r="N43" s="13"/>
      <c r="O43" s="15" t="str">
        <f aca="false">IF(AND(O$3&gt;=$H43,O$3&lt;=$I43),1,"")</f>
        <v/>
      </c>
      <c r="P43" s="15" t="str">
        <f aca="false">IF(AND(P$3&gt;=$H43,P$3&lt;=$I43),1,"")</f>
        <v/>
      </c>
      <c r="Q43" s="15" t="str">
        <f aca="false">IF(AND(Q$3&gt;=$H43,Q$3&lt;=$I43),1,"")</f>
        <v/>
      </c>
      <c r="R43" s="15" t="str">
        <f aca="false">IF(AND(R$3&gt;=$H43,R$3&lt;=$I43),1,"")</f>
        <v/>
      </c>
      <c r="S43" s="15" t="str">
        <f aca="false">IF(AND(S$3&gt;=$H43,S$3&lt;=$I43),1,"")</f>
        <v/>
      </c>
      <c r="T43" s="15" t="str">
        <f aca="false">IF(AND(T$3&gt;=$H43,T$3&lt;=$I43),1,"")</f>
        <v/>
      </c>
      <c r="U43" s="15" t="str">
        <f aca="false">IF(AND(U$3&gt;=$H43,U$3&lt;=$I43),1,"")</f>
        <v/>
      </c>
      <c r="V43" s="15" t="str">
        <f aca="false">IF(AND(V$3&gt;=$H43,V$3&lt;=$I43),1,"")</f>
        <v/>
      </c>
      <c r="W43" s="15" t="str">
        <f aca="false">IF(AND(W$3&gt;=$H43,W$3&lt;=$I43),1,"")</f>
        <v/>
      </c>
      <c r="X43" s="15" t="str">
        <f aca="false">IF(AND(X$3&gt;=$H43,X$3&lt;=$I43),1,"")</f>
        <v/>
      </c>
      <c r="Y43" s="15" t="str">
        <f aca="false">IF(AND(Y$3&gt;=$H43,Y$3&lt;=$I43),1,"")</f>
        <v/>
      </c>
      <c r="Z43" s="15" t="str">
        <f aca="false">IF(AND(Z$3&gt;=$H43,Z$3&lt;=$I43),1,"")</f>
        <v/>
      </c>
      <c r="AA43" s="15" t="str">
        <f aca="false">IF(AND(AA$3&gt;=$H43,AA$3&lt;=$I43),1,"")</f>
        <v/>
      </c>
      <c r="AB43" s="15" t="str">
        <f aca="false">IF(AND(AB$3&gt;=$H43,AB$3&lt;=$I43),1,"")</f>
        <v/>
      </c>
      <c r="AC43" s="15" t="str">
        <f aca="false">IF(AND(AC$3&gt;=$H43,AC$3&lt;=$I43),1,"")</f>
        <v/>
      </c>
      <c r="AD43" s="15" t="str">
        <f aca="false">IF(AND(AD$3&gt;=$H43,AD$3&lt;=$I43),1,"")</f>
        <v/>
      </c>
      <c r="AE43" s="15" t="str">
        <f aca="false">IF(AND(AE$3&gt;=$H43,AE$3&lt;=$I43),1,"")</f>
        <v/>
      </c>
      <c r="AF43" s="15" t="str">
        <f aca="false">IF(AND(AF$3&gt;=$H43,AF$3&lt;=$I43),1,"")</f>
        <v/>
      </c>
      <c r="AG43" s="15" t="str">
        <f aca="false">IF(AND(AG$3&gt;=$H43,AG$3&lt;=$I43),1,"")</f>
        <v/>
      </c>
      <c r="AH43" s="15" t="str">
        <f aca="false">IF(AND(AH$3&gt;=$H43,AH$3&lt;=$I43),1,"")</f>
        <v/>
      </c>
      <c r="AI43" s="15" t="n">
        <f aca="false">IF(AND(AI$3&gt;=$H43,AI$3&lt;=$I43),1,"")</f>
        <v>1</v>
      </c>
      <c r="AJ43" s="15" t="str">
        <f aca="false">IF(AND(AJ$3&gt;=$H43,AJ$3&lt;=$I43),1,"")</f>
        <v/>
      </c>
      <c r="AK43" s="15" t="str">
        <f aca="false">IF(AND(AK$3&gt;=$H43,AK$3&lt;=$I43),1,"")</f>
        <v/>
      </c>
      <c r="AL43" s="15" t="str">
        <f aca="false">IF(AND(AL$3&gt;=$H43,AL$3&lt;=$I43),1,"")</f>
        <v/>
      </c>
      <c r="AM43" s="15" t="str">
        <f aca="false">IF(AND(AM$3&gt;=$H43,AM$3&lt;=$I43),1,"")</f>
        <v/>
      </c>
      <c r="AN43" s="15" t="str">
        <f aca="false">IF(AND(AN$3&gt;=$H43,AN$3&lt;=$I43),1,"")</f>
        <v/>
      </c>
      <c r="AO43" s="15" t="str">
        <f aca="false">IF(AND(AO$3&gt;=$H43,AO$3&lt;=$I43),1,"")</f>
        <v/>
      </c>
      <c r="AP43" s="15" t="str">
        <f aca="false">IF(AND(AP$3&gt;=$H43,AP$3&lt;=$I43),1,"")</f>
        <v/>
      </c>
      <c r="AQ43" s="15" t="str">
        <f aca="false">IF(AND(AQ$3&gt;=$H43,AQ$3&lt;=$I43),1,"")</f>
        <v/>
      </c>
      <c r="AR43" s="15" t="str">
        <f aca="false">IF(AND(AR$3&gt;=$H43,AR$3&lt;=$I43),1,"")</f>
        <v/>
      </c>
    </row>
    <row r="44" customFormat="false" ht="15" hidden="false" customHeight="false" outlineLevel="0" collapsed="false">
      <c r="A44" s="10" t="s">
        <v>128</v>
      </c>
      <c r="B44" s="10" t="s">
        <v>134</v>
      </c>
      <c r="C44" s="10" t="s">
        <v>135</v>
      </c>
      <c r="D44" s="10"/>
      <c r="E44" s="11" t="n">
        <v>0</v>
      </c>
      <c r="F44" s="11" t="n">
        <v>0.5</v>
      </c>
      <c r="G44" s="10" t="s">
        <v>44</v>
      </c>
      <c r="H44" s="12" t="n">
        <v>23</v>
      </c>
      <c r="I44" s="12" t="n">
        <v>23</v>
      </c>
      <c r="J44" s="13" t="n">
        <f aca="false">INDEX(Calendario!$B$2:$B$31,MATCH(H44,Calendario!$A$2:$A$31,0))</f>
        <v>46345</v>
      </c>
      <c r="K44" s="13" t="n">
        <f aca="false">INDEX(Calendario!$B$2:$B$31,MATCH(I44,Calendario!$A$2:$A$31,0))</f>
        <v>46345</v>
      </c>
      <c r="L44" s="14" t="s">
        <v>38</v>
      </c>
      <c r="M44" s="13"/>
      <c r="N44" s="13"/>
      <c r="O44" s="15" t="str">
        <f aca="false">IF(AND(O$3&gt;=$H44,O$3&lt;=$I44),1,"")</f>
        <v/>
      </c>
      <c r="P44" s="15" t="str">
        <f aca="false">IF(AND(P$3&gt;=$H44,P$3&lt;=$I44),1,"")</f>
        <v/>
      </c>
      <c r="Q44" s="15" t="str">
        <f aca="false">IF(AND(Q$3&gt;=$H44,Q$3&lt;=$I44),1,"")</f>
        <v/>
      </c>
      <c r="R44" s="15" t="str">
        <f aca="false">IF(AND(R$3&gt;=$H44,R$3&lt;=$I44),1,"")</f>
        <v/>
      </c>
      <c r="S44" s="15" t="str">
        <f aca="false">IF(AND(S$3&gt;=$H44,S$3&lt;=$I44),1,"")</f>
        <v/>
      </c>
      <c r="T44" s="15" t="str">
        <f aca="false">IF(AND(T$3&gt;=$H44,T$3&lt;=$I44),1,"")</f>
        <v/>
      </c>
      <c r="U44" s="15" t="str">
        <f aca="false">IF(AND(U$3&gt;=$H44,U$3&lt;=$I44),1,"")</f>
        <v/>
      </c>
      <c r="V44" s="15" t="str">
        <f aca="false">IF(AND(V$3&gt;=$H44,V$3&lt;=$I44),1,"")</f>
        <v/>
      </c>
      <c r="W44" s="15" t="str">
        <f aca="false">IF(AND(W$3&gt;=$H44,W$3&lt;=$I44),1,"")</f>
        <v/>
      </c>
      <c r="X44" s="15" t="str">
        <f aca="false">IF(AND(X$3&gt;=$H44,X$3&lt;=$I44),1,"")</f>
        <v/>
      </c>
      <c r="Y44" s="15" t="str">
        <f aca="false">IF(AND(Y$3&gt;=$H44,Y$3&lt;=$I44),1,"")</f>
        <v/>
      </c>
      <c r="Z44" s="15" t="str">
        <f aca="false">IF(AND(Z$3&gt;=$H44,Z$3&lt;=$I44),1,"")</f>
        <v/>
      </c>
      <c r="AA44" s="15" t="str">
        <f aca="false">IF(AND(AA$3&gt;=$H44,AA$3&lt;=$I44),1,"")</f>
        <v/>
      </c>
      <c r="AB44" s="15" t="str">
        <f aca="false">IF(AND(AB$3&gt;=$H44,AB$3&lt;=$I44),1,"")</f>
        <v/>
      </c>
      <c r="AC44" s="15" t="str">
        <f aca="false">IF(AND(AC$3&gt;=$H44,AC$3&lt;=$I44),1,"")</f>
        <v/>
      </c>
      <c r="AD44" s="15" t="str">
        <f aca="false">IF(AND(AD$3&gt;=$H44,AD$3&lt;=$I44),1,"")</f>
        <v/>
      </c>
      <c r="AE44" s="15" t="str">
        <f aca="false">IF(AND(AE$3&gt;=$H44,AE$3&lt;=$I44),1,"")</f>
        <v/>
      </c>
      <c r="AF44" s="15" t="str">
        <f aca="false">IF(AND(AF$3&gt;=$H44,AF$3&lt;=$I44),1,"")</f>
        <v/>
      </c>
      <c r="AG44" s="15" t="str">
        <f aca="false">IF(AND(AG$3&gt;=$H44,AG$3&lt;=$I44),1,"")</f>
        <v/>
      </c>
      <c r="AH44" s="15" t="str">
        <f aca="false">IF(AND(AH$3&gt;=$H44,AH$3&lt;=$I44),1,"")</f>
        <v/>
      </c>
      <c r="AI44" s="15" t="str">
        <f aca="false">IF(AND(AI$3&gt;=$H44,AI$3&lt;=$I44),1,"")</f>
        <v/>
      </c>
      <c r="AJ44" s="15" t="str">
        <f aca="false">IF(AND(AJ$3&gt;=$H44,AJ$3&lt;=$I44),1,"")</f>
        <v/>
      </c>
      <c r="AK44" s="15" t="n">
        <f aca="false">IF(AND(AK$3&gt;=$H44,AK$3&lt;=$I44),1,"")</f>
        <v>1</v>
      </c>
      <c r="AL44" s="15" t="str">
        <f aca="false">IF(AND(AL$3&gt;=$H44,AL$3&lt;=$I44),1,"")</f>
        <v/>
      </c>
      <c r="AM44" s="15" t="str">
        <f aca="false">IF(AND(AM$3&gt;=$H44,AM$3&lt;=$I44),1,"")</f>
        <v/>
      </c>
      <c r="AN44" s="15" t="str">
        <f aca="false">IF(AND(AN$3&gt;=$H44,AN$3&lt;=$I44),1,"")</f>
        <v/>
      </c>
      <c r="AO44" s="15" t="str">
        <f aca="false">IF(AND(AO$3&gt;=$H44,AO$3&lt;=$I44),1,"")</f>
        <v/>
      </c>
      <c r="AP44" s="15" t="str">
        <f aca="false">IF(AND(AP$3&gt;=$H44,AP$3&lt;=$I44),1,"")</f>
        <v/>
      </c>
      <c r="AQ44" s="15" t="str">
        <f aca="false">IF(AND(AQ$3&gt;=$H44,AQ$3&lt;=$I44),1,"")</f>
        <v/>
      </c>
      <c r="AR44" s="15" t="str">
        <f aca="false">IF(AND(AR$3&gt;=$H44,AR$3&lt;=$I44),1,"")</f>
        <v/>
      </c>
    </row>
    <row r="45" customFormat="false" ht="15" hidden="false" customHeight="false" outlineLevel="0" collapsed="false">
      <c r="A45" s="10" t="s">
        <v>128</v>
      </c>
      <c r="B45" s="10" t="s">
        <v>136</v>
      </c>
      <c r="C45" s="10" t="s">
        <v>137</v>
      </c>
      <c r="D45" s="10"/>
      <c r="E45" s="11" t="n">
        <v>1</v>
      </c>
      <c r="F45" s="11" t="n">
        <v>1</v>
      </c>
      <c r="G45" s="10" t="s">
        <v>37</v>
      </c>
      <c r="H45" s="12" t="n">
        <v>23</v>
      </c>
      <c r="I45" s="12" t="n">
        <v>24</v>
      </c>
      <c r="J45" s="13" t="n">
        <f aca="false">INDEX(Calendario!$B$2:$B$31,MATCH(H45,Calendario!$A$2:$A$31,0))</f>
        <v>46345</v>
      </c>
      <c r="K45" s="13" t="n">
        <f aca="false">INDEX(Calendario!$B$2:$B$31,MATCH(I45,Calendario!$A$2:$A$31,0))</f>
        <v>46346</v>
      </c>
      <c r="L45" s="14" t="s">
        <v>38</v>
      </c>
      <c r="M45" s="13"/>
      <c r="N45" s="13"/>
      <c r="O45" s="15" t="str">
        <f aca="false">IF(AND(O$3&gt;=$H45,O$3&lt;=$I45),1,"")</f>
        <v/>
      </c>
      <c r="P45" s="15" t="str">
        <f aca="false">IF(AND(P$3&gt;=$H45,P$3&lt;=$I45),1,"")</f>
        <v/>
      </c>
      <c r="Q45" s="15" t="str">
        <f aca="false">IF(AND(Q$3&gt;=$H45,Q$3&lt;=$I45),1,"")</f>
        <v/>
      </c>
      <c r="R45" s="15" t="str">
        <f aca="false">IF(AND(R$3&gt;=$H45,R$3&lt;=$I45),1,"")</f>
        <v/>
      </c>
      <c r="S45" s="15" t="str">
        <f aca="false">IF(AND(S$3&gt;=$H45,S$3&lt;=$I45),1,"")</f>
        <v/>
      </c>
      <c r="T45" s="15" t="str">
        <f aca="false">IF(AND(T$3&gt;=$H45,T$3&lt;=$I45),1,"")</f>
        <v/>
      </c>
      <c r="U45" s="15" t="str">
        <f aca="false">IF(AND(U$3&gt;=$H45,U$3&lt;=$I45),1,"")</f>
        <v/>
      </c>
      <c r="V45" s="15" t="str">
        <f aca="false">IF(AND(V$3&gt;=$H45,V$3&lt;=$I45),1,"")</f>
        <v/>
      </c>
      <c r="W45" s="15" t="str">
        <f aca="false">IF(AND(W$3&gt;=$H45,W$3&lt;=$I45),1,"")</f>
        <v/>
      </c>
      <c r="X45" s="15" t="str">
        <f aca="false">IF(AND(X$3&gt;=$H45,X$3&lt;=$I45),1,"")</f>
        <v/>
      </c>
      <c r="Y45" s="15" t="str">
        <f aca="false">IF(AND(Y$3&gt;=$H45,Y$3&lt;=$I45),1,"")</f>
        <v/>
      </c>
      <c r="Z45" s="15" t="str">
        <f aca="false">IF(AND(Z$3&gt;=$H45,Z$3&lt;=$I45),1,"")</f>
        <v/>
      </c>
      <c r="AA45" s="15" t="str">
        <f aca="false">IF(AND(AA$3&gt;=$H45,AA$3&lt;=$I45),1,"")</f>
        <v/>
      </c>
      <c r="AB45" s="15" t="str">
        <f aca="false">IF(AND(AB$3&gt;=$H45,AB$3&lt;=$I45),1,"")</f>
        <v/>
      </c>
      <c r="AC45" s="15" t="str">
        <f aca="false">IF(AND(AC$3&gt;=$H45,AC$3&lt;=$I45),1,"")</f>
        <v/>
      </c>
      <c r="AD45" s="15" t="str">
        <f aca="false">IF(AND(AD$3&gt;=$H45,AD$3&lt;=$I45),1,"")</f>
        <v/>
      </c>
      <c r="AE45" s="15" t="str">
        <f aca="false">IF(AND(AE$3&gt;=$H45,AE$3&lt;=$I45),1,"")</f>
        <v/>
      </c>
      <c r="AF45" s="15" t="str">
        <f aca="false">IF(AND(AF$3&gt;=$H45,AF$3&lt;=$I45),1,"")</f>
        <v/>
      </c>
      <c r="AG45" s="15" t="str">
        <f aca="false">IF(AND(AG$3&gt;=$H45,AG$3&lt;=$I45),1,"")</f>
        <v/>
      </c>
      <c r="AH45" s="15" t="str">
        <f aca="false">IF(AND(AH$3&gt;=$H45,AH$3&lt;=$I45),1,"")</f>
        <v/>
      </c>
      <c r="AI45" s="15" t="str">
        <f aca="false">IF(AND(AI$3&gt;=$H45,AI$3&lt;=$I45),1,"")</f>
        <v/>
      </c>
      <c r="AJ45" s="15" t="str">
        <f aca="false">IF(AND(AJ$3&gt;=$H45,AJ$3&lt;=$I45),1,"")</f>
        <v/>
      </c>
      <c r="AK45" s="15" t="n">
        <f aca="false">IF(AND(AK$3&gt;=$H45,AK$3&lt;=$I45),1,"")</f>
        <v>1</v>
      </c>
      <c r="AL45" s="15" t="n">
        <f aca="false">IF(AND(AL$3&gt;=$H45,AL$3&lt;=$I45),1,"")</f>
        <v>1</v>
      </c>
      <c r="AM45" s="15" t="str">
        <f aca="false">IF(AND(AM$3&gt;=$H45,AM$3&lt;=$I45),1,"")</f>
        <v/>
      </c>
      <c r="AN45" s="15" t="str">
        <f aca="false">IF(AND(AN$3&gt;=$H45,AN$3&lt;=$I45),1,"")</f>
        <v/>
      </c>
      <c r="AO45" s="15" t="str">
        <f aca="false">IF(AND(AO$3&gt;=$H45,AO$3&lt;=$I45),1,"")</f>
        <v/>
      </c>
      <c r="AP45" s="15" t="str">
        <f aca="false">IF(AND(AP$3&gt;=$H45,AP$3&lt;=$I45),1,"")</f>
        <v/>
      </c>
      <c r="AQ45" s="15" t="str">
        <f aca="false">IF(AND(AQ$3&gt;=$H45,AQ$3&lt;=$I45),1,"")</f>
        <v/>
      </c>
      <c r="AR45" s="15" t="str">
        <f aca="false">IF(AND(AR$3&gt;=$H45,AR$3&lt;=$I45),1,"")</f>
        <v/>
      </c>
    </row>
    <row r="46" customFormat="false" ht="15" hidden="false" customHeight="false" outlineLevel="0" collapsed="false">
      <c r="A46" s="10" t="s">
        <v>128</v>
      </c>
      <c r="B46" s="10" t="s">
        <v>138</v>
      </c>
      <c r="C46" s="10" t="s">
        <v>139</v>
      </c>
      <c r="D46" s="10"/>
      <c r="E46" s="11" t="n">
        <v>0.5</v>
      </c>
      <c r="F46" s="11" t="n">
        <v>0.5</v>
      </c>
      <c r="G46" s="10" t="s">
        <v>37</v>
      </c>
      <c r="H46" s="12" t="n">
        <v>23</v>
      </c>
      <c r="I46" s="12" t="n">
        <v>24</v>
      </c>
      <c r="J46" s="13" t="n">
        <f aca="false">INDEX(Calendario!$B$2:$B$31,MATCH(H46,Calendario!$A$2:$A$31,0))</f>
        <v>46345</v>
      </c>
      <c r="K46" s="13" t="n">
        <f aca="false">INDEX(Calendario!$B$2:$B$31,MATCH(I46,Calendario!$A$2:$A$31,0))</f>
        <v>46346</v>
      </c>
      <c r="L46" s="14" t="s">
        <v>38</v>
      </c>
      <c r="M46" s="13"/>
      <c r="N46" s="13"/>
      <c r="O46" s="15" t="str">
        <f aca="false">IF(AND(O$3&gt;=$H46,O$3&lt;=$I46),1,"")</f>
        <v/>
      </c>
      <c r="P46" s="15" t="str">
        <f aca="false">IF(AND(P$3&gt;=$H46,P$3&lt;=$I46),1,"")</f>
        <v/>
      </c>
      <c r="Q46" s="15" t="str">
        <f aca="false">IF(AND(Q$3&gt;=$H46,Q$3&lt;=$I46),1,"")</f>
        <v/>
      </c>
      <c r="R46" s="15" t="str">
        <f aca="false">IF(AND(R$3&gt;=$H46,R$3&lt;=$I46),1,"")</f>
        <v/>
      </c>
      <c r="S46" s="15" t="str">
        <f aca="false">IF(AND(S$3&gt;=$H46,S$3&lt;=$I46),1,"")</f>
        <v/>
      </c>
      <c r="T46" s="15" t="str">
        <f aca="false">IF(AND(T$3&gt;=$H46,T$3&lt;=$I46),1,"")</f>
        <v/>
      </c>
      <c r="U46" s="15" t="str">
        <f aca="false">IF(AND(U$3&gt;=$H46,U$3&lt;=$I46),1,"")</f>
        <v/>
      </c>
      <c r="V46" s="15" t="str">
        <f aca="false">IF(AND(V$3&gt;=$H46,V$3&lt;=$I46),1,"")</f>
        <v/>
      </c>
      <c r="W46" s="15" t="str">
        <f aca="false">IF(AND(W$3&gt;=$H46,W$3&lt;=$I46),1,"")</f>
        <v/>
      </c>
      <c r="X46" s="15" t="str">
        <f aca="false">IF(AND(X$3&gt;=$H46,X$3&lt;=$I46),1,"")</f>
        <v/>
      </c>
      <c r="Y46" s="15" t="str">
        <f aca="false">IF(AND(Y$3&gt;=$H46,Y$3&lt;=$I46),1,"")</f>
        <v/>
      </c>
      <c r="Z46" s="15" t="str">
        <f aca="false">IF(AND(Z$3&gt;=$H46,Z$3&lt;=$I46),1,"")</f>
        <v/>
      </c>
      <c r="AA46" s="15" t="str">
        <f aca="false">IF(AND(AA$3&gt;=$H46,AA$3&lt;=$I46),1,"")</f>
        <v/>
      </c>
      <c r="AB46" s="15" t="str">
        <f aca="false">IF(AND(AB$3&gt;=$H46,AB$3&lt;=$I46),1,"")</f>
        <v/>
      </c>
      <c r="AC46" s="15" t="str">
        <f aca="false">IF(AND(AC$3&gt;=$H46,AC$3&lt;=$I46),1,"")</f>
        <v/>
      </c>
      <c r="AD46" s="15" t="str">
        <f aca="false">IF(AND(AD$3&gt;=$H46,AD$3&lt;=$I46),1,"")</f>
        <v/>
      </c>
      <c r="AE46" s="15" t="str">
        <f aca="false">IF(AND(AE$3&gt;=$H46,AE$3&lt;=$I46),1,"")</f>
        <v/>
      </c>
      <c r="AF46" s="15" t="str">
        <f aca="false">IF(AND(AF$3&gt;=$H46,AF$3&lt;=$I46),1,"")</f>
        <v/>
      </c>
      <c r="AG46" s="15" t="str">
        <f aca="false">IF(AND(AG$3&gt;=$H46,AG$3&lt;=$I46),1,"")</f>
        <v/>
      </c>
      <c r="AH46" s="15" t="str">
        <f aca="false">IF(AND(AH$3&gt;=$H46,AH$3&lt;=$I46),1,"")</f>
        <v/>
      </c>
      <c r="AI46" s="15" t="str">
        <f aca="false">IF(AND(AI$3&gt;=$H46,AI$3&lt;=$I46),1,"")</f>
        <v/>
      </c>
      <c r="AJ46" s="15" t="str">
        <f aca="false">IF(AND(AJ$3&gt;=$H46,AJ$3&lt;=$I46),1,"")</f>
        <v/>
      </c>
      <c r="AK46" s="15" t="n">
        <f aca="false">IF(AND(AK$3&gt;=$H46,AK$3&lt;=$I46),1,"")</f>
        <v>1</v>
      </c>
      <c r="AL46" s="15" t="n">
        <f aca="false">IF(AND(AL$3&gt;=$H46,AL$3&lt;=$I46),1,"")</f>
        <v>1</v>
      </c>
      <c r="AM46" s="15" t="str">
        <f aca="false">IF(AND(AM$3&gt;=$H46,AM$3&lt;=$I46),1,"")</f>
        <v/>
      </c>
      <c r="AN46" s="15" t="str">
        <f aca="false">IF(AND(AN$3&gt;=$H46,AN$3&lt;=$I46),1,"")</f>
        <v/>
      </c>
      <c r="AO46" s="15" t="str">
        <f aca="false">IF(AND(AO$3&gt;=$H46,AO$3&lt;=$I46),1,"")</f>
        <v/>
      </c>
      <c r="AP46" s="15" t="str">
        <f aca="false">IF(AND(AP$3&gt;=$H46,AP$3&lt;=$I46),1,"")</f>
        <v/>
      </c>
      <c r="AQ46" s="15" t="str">
        <f aca="false">IF(AND(AQ$3&gt;=$H46,AQ$3&lt;=$I46),1,"")</f>
        <v/>
      </c>
      <c r="AR46" s="15" t="str">
        <f aca="false">IF(AND(AR$3&gt;=$H46,AR$3&lt;=$I46),1,"")</f>
        <v/>
      </c>
    </row>
    <row r="47" customFormat="false" ht="15" hidden="false" customHeight="false" outlineLevel="0" collapsed="false">
      <c r="A47" s="10" t="s">
        <v>128</v>
      </c>
      <c r="B47" s="10" t="s">
        <v>140</v>
      </c>
      <c r="C47" s="10" t="s">
        <v>141</v>
      </c>
      <c r="D47" s="10"/>
      <c r="E47" s="11" t="n">
        <v>0.5</v>
      </c>
      <c r="F47" s="11" t="n">
        <v>0</v>
      </c>
      <c r="G47" s="10" t="s">
        <v>41</v>
      </c>
      <c r="H47" s="12" t="n">
        <v>24</v>
      </c>
      <c r="I47" s="12" t="n">
        <v>24</v>
      </c>
      <c r="J47" s="13" t="n">
        <f aca="false">INDEX(Calendario!$B$2:$B$31,MATCH(H47,Calendario!$A$2:$A$31,0))</f>
        <v>46346</v>
      </c>
      <c r="K47" s="13" t="n">
        <f aca="false">INDEX(Calendario!$B$2:$B$31,MATCH(I47,Calendario!$A$2:$A$31,0))</f>
        <v>46346</v>
      </c>
      <c r="L47" s="14" t="s">
        <v>38</v>
      </c>
      <c r="M47" s="13"/>
      <c r="N47" s="13"/>
      <c r="O47" s="15" t="str">
        <f aca="false">IF(AND(O$3&gt;=$H47,O$3&lt;=$I47),1,"")</f>
        <v/>
      </c>
      <c r="P47" s="15" t="str">
        <f aca="false">IF(AND(P$3&gt;=$H47,P$3&lt;=$I47),1,"")</f>
        <v/>
      </c>
      <c r="Q47" s="15" t="str">
        <f aca="false">IF(AND(Q$3&gt;=$H47,Q$3&lt;=$I47),1,"")</f>
        <v/>
      </c>
      <c r="R47" s="15" t="str">
        <f aca="false">IF(AND(R$3&gt;=$H47,R$3&lt;=$I47),1,"")</f>
        <v/>
      </c>
      <c r="S47" s="15" t="str">
        <f aca="false">IF(AND(S$3&gt;=$H47,S$3&lt;=$I47),1,"")</f>
        <v/>
      </c>
      <c r="T47" s="15" t="str">
        <f aca="false">IF(AND(T$3&gt;=$H47,T$3&lt;=$I47),1,"")</f>
        <v/>
      </c>
      <c r="U47" s="15" t="str">
        <f aca="false">IF(AND(U$3&gt;=$H47,U$3&lt;=$I47),1,"")</f>
        <v/>
      </c>
      <c r="V47" s="15" t="str">
        <f aca="false">IF(AND(V$3&gt;=$H47,V$3&lt;=$I47),1,"")</f>
        <v/>
      </c>
      <c r="W47" s="15" t="str">
        <f aca="false">IF(AND(W$3&gt;=$H47,W$3&lt;=$I47),1,"")</f>
        <v/>
      </c>
      <c r="X47" s="15" t="str">
        <f aca="false">IF(AND(X$3&gt;=$H47,X$3&lt;=$I47),1,"")</f>
        <v/>
      </c>
      <c r="Y47" s="15" t="str">
        <f aca="false">IF(AND(Y$3&gt;=$H47,Y$3&lt;=$I47),1,"")</f>
        <v/>
      </c>
      <c r="Z47" s="15" t="str">
        <f aca="false">IF(AND(Z$3&gt;=$H47,Z$3&lt;=$I47),1,"")</f>
        <v/>
      </c>
      <c r="AA47" s="15" t="str">
        <f aca="false">IF(AND(AA$3&gt;=$H47,AA$3&lt;=$I47),1,"")</f>
        <v/>
      </c>
      <c r="AB47" s="15" t="str">
        <f aca="false">IF(AND(AB$3&gt;=$H47,AB$3&lt;=$I47),1,"")</f>
        <v/>
      </c>
      <c r="AC47" s="15" t="str">
        <f aca="false">IF(AND(AC$3&gt;=$H47,AC$3&lt;=$I47),1,"")</f>
        <v/>
      </c>
      <c r="AD47" s="15" t="str">
        <f aca="false">IF(AND(AD$3&gt;=$H47,AD$3&lt;=$I47),1,"")</f>
        <v/>
      </c>
      <c r="AE47" s="15" t="str">
        <f aca="false">IF(AND(AE$3&gt;=$H47,AE$3&lt;=$I47),1,"")</f>
        <v/>
      </c>
      <c r="AF47" s="15" t="str">
        <f aca="false">IF(AND(AF$3&gt;=$H47,AF$3&lt;=$I47),1,"")</f>
        <v/>
      </c>
      <c r="AG47" s="15" t="str">
        <f aca="false">IF(AND(AG$3&gt;=$H47,AG$3&lt;=$I47),1,"")</f>
        <v/>
      </c>
      <c r="AH47" s="15" t="str">
        <f aca="false">IF(AND(AH$3&gt;=$H47,AH$3&lt;=$I47),1,"")</f>
        <v/>
      </c>
      <c r="AI47" s="15" t="str">
        <f aca="false">IF(AND(AI$3&gt;=$H47,AI$3&lt;=$I47),1,"")</f>
        <v/>
      </c>
      <c r="AJ47" s="15" t="str">
        <f aca="false">IF(AND(AJ$3&gt;=$H47,AJ$3&lt;=$I47),1,"")</f>
        <v/>
      </c>
      <c r="AK47" s="15" t="str">
        <f aca="false">IF(AND(AK$3&gt;=$H47,AK$3&lt;=$I47),1,"")</f>
        <v/>
      </c>
      <c r="AL47" s="15" t="n">
        <f aca="false">IF(AND(AL$3&gt;=$H47,AL$3&lt;=$I47),1,"")</f>
        <v>1</v>
      </c>
      <c r="AM47" s="15" t="str">
        <f aca="false">IF(AND(AM$3&gt;=$H47,AM$3&lt;=$I47),1,"")</f>
        <v/>
      </c>
      <c r="AN47" s="15" t="str">
        <f aca="false">IF(AND(AN$3&gt;=$H47,AN$3&lt;=$I47),1,"")</f>
        <v/>
      </c>
      <c r="AO47" s="15" t="str">
        <f aca="false">IF(AND(AO$3&gt;=$H47,AO$3&lt;=$I47),1,"")</f>
        <v/>
      </c>
      <c r="AP47" s="15" t="str">
        <f aca="false">IF(AND(AP$3&gt;=$H47,AP$3&lt;=$I47),1,"")</f>
        <v/>
      </c>
      <c r="AQ47" s="15" t="str">
        <f aca="false">IF(AND(AQ$3&gt;=$H47,AQ$3&lt;=$I47),1,"")</f>
        <v/>
      </c>
      <c r="AR47" s="15" t="str">
        <f aca="false">IF(AND(AR$3&gt;=$H47,AR$3&lt;=$I47),1,"")</f>
        <v/>
      </c>
    </row>
    <row r="48" customFormat="false" ht="15" hidden="false" customHeight="false" outlineLevel="0" collapsed="false">
      <c r="A48" s="10" t="s">
        <v>128</v>
      </c>
      <c r="B48" s="10" t="s">
        <v>142</v>
      </c>
      <c r="C48" s="10" t="s">
        <v>143</v>
      </c>
      <c r="D48" s="10"/>
      <c r="E48" s="11" t="n">
        <v>0</v>
      </c>
      <c r="F48" s="11" t="n">
        <v>1</v>
      </c>
      <c r="G48" s="10" t="s">
        <v>44</v>
      </c>
      <c r="H48" s="12" t="n">
        <v>25</v>
      </c>
      <c r="I48" s="12" t="n">
        <v>25</v>
      </c>
      <c r="J48" s="13" t="n">
        <f aca="false">INDEX(Calendario!$B$2:$B$31,MATCH(H48,Calendario!$A$2:$A$31,0))</f>
        <v>46347</v>
      </c>
      <c r="K48" s="13" t="n">
        <f aca="false">INDEX(Calendario!$B$2:$B$31,MATCH(I48,Calendario!$A$2:$A$31,0))</f>
        <v>46347</v>
      </c>
      <c r="L48" s="14" t="s">
        <v>38</v>
      </c>
      <c r="M48" s="13"/>
      <c r="N48" s="13"/>
      <c r="O48" s="15" t="str">
        <f aca="false">IF(AND(O$3&gt;=$H48,O$3&lt;=$I48),1,"")</f>
        <v/>
      </c>
      <c r="P48" s="15" t="str">
        <f aca="false">IF(AND(P$3&gt;=$H48,P$3&lt;=$I48),1,"")</f>
        <v/>
      </c>
      <c r="Q48" s="15" t="str">
        <f aca="false">IF(AND(Q$3&gt;=$H48,Q$3&lt;=$I48),1,"")</f>
        <v/>
      </c>
      <c r="R48" s="15" t="str">
        <f aca="false">IF(AND(R$3&gt;=$H48,R$3&lt;=$I48),1,"")</f>
        <v/>
      </c>
      <c r="S48" s="15" t="str">
        <f aca="false">IF(AND(S$3&gt;=$H48,S$3&lt;=$I48),1,"")</f>
        <v/>
      </c>
      <c r="T48" s="15" t="str">
        <f aca="false">IF(AND(T$3&gt;=$H48,T$3&lt;=$I48),1,"")</f>
        <v/>
      </c>
      <c r="U48" s="15" t="str">
        <f aca="false">IF(AND(U$3&gt;=$H48,U$3&lt;=$I48),1,"")</f>
        <v/>
      </c>
      <c r="V48" s="15" t="str">
        <f aca="false">IF(AND(V$3&gt;=$H48,V$3&lt;=$I48),1,"")</f>
        <v/>
      </c>
      <c r="W48" s="15" t="str">
        <f aca="false">IF(AND(W$3&gt;=$H48,W$3&lt;=$I48),1,"")</f>
        <v/>
      </c>
      <c r="X48" s="15" t="str">
        <f aca="false">IF(AND(X$3&gt;=$H48,X$3&lt;=$I48),1,"")</f>
        <v/>
      </c>
      <c r="Y48" s="15" t="str">
        <f aca="false">IF(AND(Y$3&gt;=$H48,Y$3&lt;=$I48),1,"")</f>
        <v/>
      </c>
      <c r="Z48" s="15" t="str">
        <f aca="false">IF(AND(Z$3&gt;=$H48,Z$3&lt;=$I48),1,"")</f>
        <v/>
      </c>
      <c r="AA48" s="15" t="str">
        <f aca="false">IF(AND(AA$3&gt;=$H48,AA$3&lt;=$I48),1,"")</f>
        <v/>
      </c>
      <c r="AB48" s="15" t="str">
        <f aca="false">IF(AND(AB$3&gt;=$H48,AB$3&lt;=$I48),1,"")</f>
        <v/>
      </c>
      <c r="AC48" s="15" t="str">
        <f aca="false">IF(AND(AC$3&gt;=$H48,AC$3&lt;=$I48),1,"")</f>
        <v/>
      </c>
      <c r="AD48" s="15" t="str">
        <f aca="false">IF(AND(AD$3&gt;=$H48,AD$3&lt;=$I48),1,"")</f>
        <v/>
      </c>
      <c r="AE48" s="15" t="str">
        <f aca="false">IF(AND(AE$3&gt;=$H48,AE$3&lt;=$I48),1,"")</f>
        <v/>
      </c>
      <c r="AF48" s="15" t="str">
        <f aca="false">IF(AND(AF$3&gt;=$H48,AF$3&lt;=$I48),1,"")</f>
        <v/>
      </c>
      <c r="AG48" s="15" t="str">
        <f aca="false">IF(AND(AG$3&gt;=$H48,AG$3&lt;=$I48),1,"")</f>
        <v/>
      </c>
      <c r="AH48" s="15" t="str">
        <f aca="false">IF(AND(AH$3&gt;=$H48,AH$3&lt;=$I48),1,"")</f>
        <v/>
      </c>
      <c r="AI48" s="15" t="str">
        <f aca="false">IF(AND(AI$3&gt;=$H48,AI$3&lt;=$I48),1,"")</f>
        <v/>
      </c>
      <c r="AJ48" s="15" t="str">
        <f aca="false">IF(AND(AJ$3&gt;=$H48,AJ$3&lt;=$I48),1,"")</f>
        <v/>
      </c>
      <c r="AK48" s="15" t="str">
        <f aca="false">IF(AND(AK$3&gt;=$H48,AK$3&lt;=$I48),1,"")</f>
        <v/>
      </c>
      <c r="AL48" s="15" t="str">
        <f aca="false">IF(AND(AL$3&gt;=$H48,AL$3&lt;=$I48),1,"")</f>
        <v/>
      </c>
      <c r="AM48" s="15" t="n">
        <f aca="false">IF(AND(AM$3&gt;=$H48,AM$3&lt;=$I48),1,"")</f>
        <v>1</v>
      </c>
      <c r="AN48" s="15" t="str">
        <f aca="false">IF(AND(AN$3&gt;=$H48,AN$3&lt;=$I48),1,"")</f>
        <v/>
      </c>
      <c r="AO48" s="15" t="str">
        <f aca="false">IF(AND(AO$3&gt;=$H48,AO$3&lt;=$I48),1,"")</f>
        <v/>
      </c>
      <c r="AP48" s="15" t="str">
        <f aca="false">IF(AND(AP$3&gt;=$H48,AP$3&lt;=$I48),1,"")</f>
        <v/>
      </c>
      <c r="AQ48" s="15" t="str">
        <f aca="false">IF(AND(AQ$3&gt;=$H48,AQ$3&lt;=$I48),1,"")</f>
        <v/>
      </c>
      <c r="AR48" s="15" t="str">
        <f aca="false">IF(AND(AR$3&gt;=$H48,AR$3&lt;=$I48),1,"")</f>
        <v/>
      </c>
    </row>
    <row r="49" customFormat="false" ht="15" hidden="false" customHeight="false" outlineLevel="0" collapsed="false">
      <c r="A49" s="10" t="s">
        <v>144</v>
      </c>
      <c r="B49" s="10" t="s">
        <v>145</v>
      </c>
      <c r="C49" s="10" t="s">
        <v>146</v>
      </c>
      <c r="D49" s="10"/>
      <c r="E49" s="11" t="n">
        <v>0.5</v>
      </c>
      <c r="F49" s="11" t="n">
        <v>0</v>
      </c>
      <c r="G49" s="10" t="s">
        <v>41</v>
      </c>
      <c r="H49" s="12" t="n">
        <v>25</v>
      </c>
      <c r="I49" s="12" t="n">
        <v>25</v>
      </c>
      <c r="J49" s="13" t="n">
        <f aca="false">INDEX(Calendario!$B$2:$B$31,MATCH(H49,Calendario!$A$2:$A$31,0))</f>
        <v>46347</v>
      </c>
      <c r="K49" s="13" t="n">
        <f aca="false">INDEX(Calendario!$B$2:$B$31,MATCH(I49,Calendario!$A$2:$A$31,0))</f>
        <v>46347</v>
      </c>
      <c r="L49" s="14" t="s">
        <v>38</v>
      </c>
      <c r="M49" s="13"/>
      <c r="N49" s="13"/>
      <c r="O49" s="15" t="str">
        <f aca="false">IF(AND(O$3&gt;=$H49,O$3&lt;=$I49),1,"")</f>
        <v/>
      </c>
      <c r="P49" s="15" t="str">
        <f aca="false">IF(AND(P$3&gt;=$H49,P$3&lt;=$I49),1,"")</f>
        <v/>
      </c>
      <c r="Q49" s="15" t="str">
        <f aca="false">IF(AND(Q$3&gt;=$H49,Q$3&lt;=$I49),1,"")</f>
        <v/>
      </c>
      <c r="R49" s="15" t="str">
        <f aca="false">IF(AND(R$3&gt;=$H49,R$3&lt;=$I49),1,"")</f>
        <v/>
      </c>
      <c r="S49" s="15" t="str">
        <f aca="false">IF(AND(S$3&gt;=$H49,S$3&lt;=$I49),1,"")</f>
        <v/>
      </c>
      <c r="T49" s="15" t="str">
        <f aca="false">IF(AND(T$3&gt;=$H49,T$3&lt;=$I49),1,"")</f>
        <v/>
      </c>
      <c r="U49" s="15" t="str">
        <f aca="false">IF(AND(U$3&gt;=$H49,U$3&lt;=$I49),1,"")</f>
        <v/>
      </c>
      <c r="V49" s="15" t="str">
        <f aca="false">IF(AND(V$3&gt;=$H49,V$3&lt;=$I49),1,"")</f>
        <v/>
      </c>
      <c r="W49" s="15" t="str">
        <f aca="false">IF(AND(W$3&gt;=$H49,W$3&lt;=$I49),1,"")</f>
        <v/>
      </c>
      <c r="X49" s="15" t="str">
        <f aca="false">IF(AND(X$3&gt;=$H49,X$3&lt;=$I49),1,"")</f>
        <v/>
      </c>
      <c r="Y49" s="15" t="str">
        <f aca="false">IF(AND(Y$3&gt;=$H49,Y$3&lt;=$I49),1,"")</f>
        <v/>
      </c>
      <c r="Z49" s="15" t="str">
        <f aca="false">IF(AND(Z$3&gt;=$H49,Z$3&lt;=$I49),1,"")</f>
        <v/>
      </c>
      <c r="AA49" s="15" t="str">
        <f aca="false">IF(AND(AA$3&gt;=$H49,AA$3&lt;=$I49),1,"")</f>
        <v/>
      </c>
      <c r="AB49" s="15" t="str">
        <f aca="false">IF(AND(AB$3&gt;=$H49,AB$3&lt;=$I49),1,"")</f>
        <v/>
      </c>
      <c r="AC49" s="15" t="str">
        <f aca="false">IF(AND(AC$3&gt;=$H49,AC$3&lt;=$I49),1,"")</f>
        <v/>
      </c>
      <c r="AD49" s="15" t="str">
        <f aca="false">IF(AND(AD$3&gt;=$H49,AD$3&lt;=$I49),1,"")</f>
        <v/>
      </c>
      <c r="AE49" s="15" t="str">
        <f aca="false">IF(AND(AE$3&gt;=$H49,AE$3&lt;=$I49),1,"")</f>
        <v/>
      </c>
      <c r="AF49" s="15" t="str">
        <f aca="false">IF(AND(AF$3&gt;=$H49,AF$3&lt;=$I49),1,"")</f>
        <v/>
      </c>
      <c r="AG49" s="15" t="str">
        <f aca="false">IF(AND(AG$3&gt;=$H49,AG$3&lt;=$I49),1,"")</f>
        <v/>
      </c>
      <c r="AH49" s="15" t="str">
        <f aca="false">IF(AND(AH$3&gt;=$H49,AH$3&lt;=$I49),1,"")</f>
        <v/>
      </c>
      <c r="AI49" s="15" t="str">
        <f aca="false">IF(AND(AI$3&gt;=$H49,AI$3&lt;=$I49),1,"")</f>
        <v/>
      </c>
      <c r="AJ49" s="15" t="str">
        <f aca="false">IF(AND(AJ$3&gt;=$H49,AJ$3&lt;=$I49),1,"")</f>
        <v/>
      </c>
      <c r="AK49" s="15" t="str">
        <f aca="false">IF(AND(AK$3&gt;=$H49,AK$3&lt;=$I49),1,"")</f>
        <v/>
      </c>
      <c r="AL49" s="15" t="str">
        <f aca="false">IF(AND(AL$3&gt;=$H49,AL$3&lt;=$I49),1,"")</f>
        <v/>
      </c>
      <c r="AM49" s="15" t="n">
        <f aca="false">IF(AND(AM$3&gt;=$H49,AM$3&lt;=$I49),1,"")</f>
        <v>1</v>
      </c>
      <c r="AN49" s="15" t="str">
        <f aca="false">IF(AND(AN$3&gt;=$H49,AN$3&lt;=$I49),1,"")</f>
        <v/>
      </c>
      <c r="AO49" s="15" t="str">
        <f aca="false">IF(AND(AO$3&gt;=$H49,AO$3&lt;=$I49),1,"")</f>
        <v/>
      </c>
      <c r="AP49" s="15" t="str">
        <f aca="false">IF(AND(AP$3&gt;=$H49,AP$3&lt;=$I49),1,"")</f>
        <v/>
      </c>
      <c r="AQ49" s="15" t="str">
        <f aca="false">IF(AND(AQ$3&gt;=$H49,AQ$3&lt;=$I49),1,"")</f>
        <v/>
      </c>
      <c r="AR49" s="15" t="str">
        <f aca="false">IF(AND(AR$3&gt;=$H49,AR$3&lt;=$I49),1,"")</f>
        <v/>
      </c>
    </row>
    <row r="50" customFormat="false" ht="15" hidden="false" customHeight="false" outlineLevel="0" collapsed="false">
      <c r="A50" s="10" t="s">
        <v>144</v>
      </c>
      <c r="B50" s="10" t="s">
        <v>147</v>
      </c>
      <c r="C50" s="10" t="s">
        <v>148</v>
      </c>
      <c r="D50" s="10"/>
      <c r="E50" s="11" t="n">
        <v>0.5</v>
      </c>
      <c r="F50" s="11" t="n">
        <v>0.5</v>
      </c>
      <c r="G50" s="10" t="s">
        <v>37</v>
      </c>
      <c r="H50" s="12" t="n">
        <v>27</v>
      </c>
      <c r="I50" s="12" t="n">
        <v>27</v>
      </c>
      <c r="J50" s="13" t="n">
        <f aca="false">INDEX(Calendario!$B$2:$B$31,MATCH(H50,Calendario!$A$2:$A$31,0))</f>
        <v>46349</v>
      </c>
      <c r="K50" s="13" t="n">
        <f aca="false">INDEX(Calendario!$B$2:$B$31,MATCH(I50,Calendario!$A$2:$A$31,0))</f>
        <v>46349</v>
      </c>
      <c r="L50" s="14" t="s">
        <v>38</v>
      </c>
      <c r="M50" s="13"/>
      <c r="N50" s="13"/>
      <c r="O50" s="15" t="str">
        <f aca="false">IF(AND(O$3&gt;=$H50,O$3&lt;=$I50),1,"")</f>
        <v/>
      </c>
      <c r="P50" s="15" t="str">
        <f aca="false">IF(AND(P$3&gt;=$H50,P$3&lt;=$I50),1,"")</f>
        <v/>
      </c>
      <c r="Q50" s="15" t="str">
        <f aca="false">IF(AND(Q$3&gt;=$H50,Q$3&lt;=$I50),1,"")</f>
        <v/>
      </c>
      <c r="R50" s="15" t="str">
        <f aca="false">IF(AND(R$3&gt;=$H50,R$3&lt;=$I50),1,"")</f>
        <v/>
      </c>
      <c r="S50" s="15" t="str">
        <f aca="false">IF(AND(S$3&gt;=$H50,S$3&lt;=$I50),1,"")</f>
        <v/>
      </c>
      <c r="T50" s="15" t="str">
        <f aca="false">IF(AND(T$3&gt;=$H50,T$3&lt;=$I50),1,"")</f>
        <v/>
      </c>
      <c r="U50" s="15" t="str">
        <f aca="false">IF(AND(U$3&gt;=$H50,U$3&lt;=$I50),1,"")</f>
        <v/>
      </c>
      <c r="V50" s="15" t="str">
        <f aca="false">IF(AND(V$3&gt;=$H50,V$3&lt;=$I50),1,"")</f>
        <v/>
      </c>
      <c r="W50" s="15" t="str">
        <f aca="false">IF(AND(W$3&gt;=$H50,W$3&lt;=$I50),1,"")</f>
        <v/>
      </c>
      <c r="X50" s="15" t="str">
        <f aca="false">IF(AND(X$3&gt;=$H50,X$3&lt;=$I50),1,"")</f>
        <v/>
      </c>
      <c r="Y50" s="15" t="str">
        <f aca="false">IF(AND(Y$3&gt;=$H50,Y$3&lt;=$I50),1,"")</f>
        <v/>
      </c>
      <c r="Z50" s="15" t="str">
        <f aca="false">IF(AND(Z$3&gt;=$H50,Z$3&lt;=$I50),1,"")</f>
        <v/>
      </c>
      <c r="AA50" s="15" t="str">
        <f aca="false">IF(AND(AA$3&gt;=$H50,AA$3&lt;=$I50),1,"")</f>
        <v/>
      </c>
      <c r="AB50" s="15" t="str">
        <f aca="false">IF(AND(AB$3&gt;=$H50,AB$3&lt;=$I50),1,"")</f>
        <v/>
      </c>
      <c r="AC50" s="15" t="str">
        <f aca="false">IF(AND(AC$3&gt;=$H50,AC$3&lt;=$I50),1,"")</f>
        <v/>
      </c>
      <c r="AD50" s="15" t="str">
        <f aca="false">IF(AND(AD$3&gt;=$H50,AD$3&lt;=$I50),1,"")</f>
        <v/>
      </c>
      <c r="AE50" s="15" t="str">
        <f aca="false">IF(AND(AE$3&gt;=$H50,AE$3&lt;=$I50),1,"")</f>
        <v/>
      </c>
      <c r="AF50" s="15" t="str">
        <f aca="false">IF(AND(AF$3&gt;=$H50,AF$3&lt;=$I50),1,"")</f>
        <v/>
      </c>
      <c r="AG50" s="15" t="str">
        <f aca="false">IF(AND(AG$3&gt;=$H50,AG$3&lt;=$I50),1,"")</f>
        <v/>
      </c>
      <c r="AH50" s="15" t="str">
        <f aca="false">IF(AND(AH$3&gt;=$H50,AH$3&lt;=$I50),1,"")</f>
        <v/>
      </c>
      <c r="AI50" s="15" t="str">
        <f aca="false">IF(AND(AI$3&gt;=$H50,AI$3&lt;=$I50),1,"")</f>
        <v/>
      </c>
      <c r="AJ50" s="15" t="str">
        <f aca="false">IF(AND(AJ$3&gt;=$H50,AJ$3&lt;=$I50),1,"")</f>
        <v/>
      </c>
      <c r="AK50" s="15" t="str">
        <f aca="false">IF(AND(AK$3&gt;=$H50,AK$3&lt;=$I50),1,"")</f>
        <v/>
      </c>
      <c r="AL50" s="15" t="str">
        <f aca="false">IF(AND(AL$3&gt;=$H50,AL$3&lt;=$I50),1,"")</f>
        <v/>
      </c>
      <c r="AM50" s="15" t="str">
        <f aca="false">IF(AND(AM$3&gt;=$H50,AM$3&lt;=$I50),1,"")</f>
        <v/>
      </c>
      <c r="AN50" s="15" t="str">
        <f aca="false">IF(AND(AN$3&gt;=$H50,AN$3&lt;=$I50),1,"")</f>
        <v/>
      </c>
      <c r="AO50" s="15" t="n">
        <f aca="false">IF(AND(AO$3&gt;=$H50,AO$3&lt;=$I50),1,"")</f>
        <v>1</v>
      </c>
      <c r="AP50" s="15" t="str">
        <f aca="false">IF(AND(AP$3&gt;=$H50,AP$3&lt;=$I50),1,"")</f>
        <v/>
      </c>
      <c r="AQ50" s="15" t="str">
        <f aca="false">IF(AND(AQ$3&gt;=$H50,AQ$3&lt;=$I50),1,"")</f>
        <v/>
      </c>
      <c r="AR50" s="15" t="str">
        <f aca="false">IF(AND(AR$3&gt;=$H50,AR$3&lt;=$I50),1,"")</f>
        <v/>
      </c>
    </row>
    <row r="51" customFormat="false" ht="15" hidden="false" customHeight="false" outlineLevel="0" collapsed="false">
      <c r="A51" s="10" t="s">
        <v>144</v>
      </c>
      <c r="B51" s="10" t="s">
        <v>149</v>
      </c>
      <c r="C51" s="10" t="s">
        <v>150</v>
      </c>
      <c r="D51" s="10"/>
      <c r="E51" s="11" t="n">
        <v>1</v>
      </c>
      <c r="F51" s="11" t="n">
        <v>1</v>
      </c>
      <c r="G51" s="10" t="s">
        <v>37</v>
      </c>
      <c r="H51" s="12" t="n">
        <v>27</v>
      </c>
      <c r="I51" s="12" t="n">
        <v>28</v>
      </c>
      <c r="J51" s="13" t="n">
        <f aca="false">INDEX(Calendario!$B$2:$B$31,MATCH(H51,Calendario!$A$2:$A$31,0))</f>
        <v>46349</v>
      </c>
      <c r="K51" s="13" t="n">
        <f aca="false">INDEX(Calendario!$B$2:$B$31,MATCH(I51,Calendario!$A$2:$A$31,0))</f>
        <v>46350</v>
      </c>
      <c r="L51" s="14" t="s">
        <v>38</v>
      </c>
      <c r="M51" s="13"/>
      <c r="N51" s="13"/>
      <c r="O51" s="15" t="str">
        <f aca="false">IF(AND(O$3&gt;=$H51,O$3&lt;=$I51),1,"")</f>
        <v/>
      </c>
      <c r="P51" s="15" t="str">
        <f aca="false">IF(AND(P$3&gt;=$H51,P$3&lt;=$I51),1,"")</f>
        <v/>
      </c>
      <c r="Q51" s="15" t="str">
        <f aca="false">IF(AND(Q$3&gt;=$H51,Q$3&lt;=$I51),1,"")</f>
        <v/>
      </c>
      <c r="R51" s="15" t="str">
        <f aca="false">IF(AND(R$3&gt;=$H51,R$3&lt;=$I51),1,"")</f>
        <v/>
      </c>
      <c r="S51" s="15" t="str">
        <f aca="false">IF(AND(S$3&gt;=$H51,S$3&lt;=$I51),1,"")</f>
        <v/>
      </c>
      <c r="T51" s="15" t="str">
        <f aca="false">IF(AND(T$3&gt;=$H51,T$3&lt;=$I51),1,"")</f>
        <v/>
      </c>
      <c r="U51" s="15" t="str">
        <f aca="false">IF(AND(U$3&gt;=$H51,U$3&lt;=$I51),1,"")</f>
        <v/>
      </c>
      <c r="V51" s="15" t="str">
        <f aca="false">IF(AND(V$3&gt;=$H51,V$3&lt;=$I51),1,"")</f>
        <v/>
      </c>
      <c r="W51" s="15" t="str">
        <f aca="false">IF(AND(W$3&gt;=$H51,W$3&lt;=$I51),1,"")</f>
        <v/>
      </c>
      <c r="X51" s="15" t="str">
        <f aca="false">IF(AND(X$3&gt;=$H51,X$3&lt;=$I51),1,"")</f>
        <v/>
      </c>
      <c r="Y51" s="15" t="str">
        <f aca="false">IF(AND(Y$3&gt;=$H51,Y$3&lt;=$I51),1,"")</f>
        <v/>
      </c>
      <c r="Z51" s="15" t="str">
        <f aca="false">IF(AND(Z$3&gt;=$H51,Z$3&lt;=$I51),1,"")</f>
        <v/>
      </c>
      <c r="AA51" s="15" t="str">
        <f aca="false">IF(AND(AA$3&gt;=$H51,AA$3&lt;=$I51),1,"")</f>
        <v/>
      </c>
      <c r="AB51" s="15" t="str">
        <f aca="false">IF(AND(AB$3&gt;=$H51,AB$3&lt;=$I51),1,"")</f>
        <v/>
      </c>
      <c r="AC51" s="15" t="str">
        <f aca="false">IF(AND(AC$3&gt;=$H51,AC$3&lt;=$I51),1,"")</f>
        <v/>
      </c>
      <c r="AD51" s="15" t="str">
        <f aca="false">IF(AND(AD$3&gt;=$H51,AD$3&lt;=$I51),1,"")</f>
        <v/>
      </c>
      <c r="AE51" s="15" t="str">
        <f aca="false">IF(AND(AE$3&gt;=$H51,AE$3&lt;=$I51),1,"")</f>
        <v/>
      </c>
      <c r="AF51" s="15" t="str">
        <f aca="false">IF(AND(AF$3&gt;=$H51,AF$3&lt;=$I51),1,"")</f>
        <v/>
      </c>
      <c r="AG51" s="15" t="str">
        <f aca="false">IF(AND(AG$3&gt;=$H51,AG$3&lt;=$I51),1,"")</f>
        <v/>
      </c>
      <c r="AH51" s="15" t="str">
        <f aca="false">IF(AND(AH$3&gt;=$H51,AH$3&lt;=$I51),1,"")</f>
        <v/>
      </c>
      <c r="AI51" s="15" t="str">
        <f aca="false">IF(AND(AI$3&gt;=$H51,AI$3&lt;=$I51),1,"")</f>
        <v/>
      </c>
      <c r="AJ51" s="15" t="str">
        <f aca="false">IF(AND(AJ$3&gt;=$H51,AJ$3&lt;=$I51),1,"")</f>
        <v/>
      </c>
      <c r="AK51" s="15" t="str">
        <f aca="false">IF(AND(AK$3&gt;=$H51,AK$3&lt;=$I51),1,"")</f>
        <v/>
      </c>
      <c r="AL51" s="15" t="str">
        <f aca="false">IF(AND(AL$3&gt;=$H51,AL$3&lt;=$I51),1,"")</f>
        <v/>
      </c>
      <c r="AM51" s="15" t="str">
        <f aca="false">IF(AND(AM$3&gt;=$H51,AM$3&lt;=$I51),1,"")</f>
        <v/>
      </c>
      <c r="AN51" s="15" t="str">
        <f aca="false">IF(AND(AN$3&gt;=$H51,AN$3&lt;=$I51),1,"")</f>
        <v/>
      </c>
      <c r="AO51" s="15" t="n">
        <f aca="false">IF(AND(AO$3&gt;=$H51,AO$3&lt;=$I51),1,"")</f>
        <v>1</v>
      </c>
      <c r="AP51" s="15" t="n">
        <f aca="false">IF(AND(AP$3&gt;=$H51,AP$3&lt;=$I51),1,"")</f>
        <v>1</v>
      </c>
      <c r="AQ51" s="15" t="str">
        <f aca="false">IF(AND(AQ$3&gt;=$H51,AQ$3&lt;=$I51),1,"")</f>
        <v/>
      </c>
      <c r="AR51" s="15" t="str">
        <f aca="false">IF(AND(AR$3&gt;=$H51,AR$3&lt;=$I51),1,"")</f>
        <v/>
      </c>
    </row>
    <row r="52" customFormat="false" ht="15" hidden="false" customHeight="false" outlineLevel="0" collapsed="false">
      <c r="A52" s="10" t="s">
        <v>144</v>
      </c>
      <c r="B52" s="10" t="s">
        <v>151</v>
      </c>
      <c r="C52" s="10" t="s">
        <v>152</v>
      </c>
      <c r="D52" s="10"/>
      <c r="E52" s="11" t="n">
        <v>1</v>
      </c>
      <c r="F52" s="11" t="n">
        <v>1</v>
      </c>
      <c r="G52" s="10" t="s">
        <v>37</v>
      </c>
      <c r="H52" s="12" t="n">
        <v>28</v>
      </c>
      <c r="I52" s="12" t="n">
        <v>29</v>
      </c>
      <c r="J52" s="13" t="n">
        <f aca="false">INDEX(Calendario!$B$2:$B$31,MATCH(H52,Calendario!$A$2:$A$31,0))</f>
        <v>46350</v>
      </c>
      <c r="K52" s="13" t="n">
        <f aca="false">INDEX(Calendario!$B$2:$B$31,MATCH(I52,Calendario!$A$2:$A$31,0))</f>
        <v>46351</v>
      </c>
      <c r="L52" s="14" t="s">
        <v>38</v>
      </c>
      <c r="M52" s="13"/>
      <c r="N52" s="13"/>
      <c r="O52" s="15" t="str">
        <f aca="false">IF(AND(O$3&gt;=$H52,O$3&lt;=$I52),1,"")</f>
        <v/>
      </c>
      <c r="P52" s="15" t="str">
        <f aca="false">IF(AND(P$3&gt;=$H52,P$3&lt;=$I52),1,"")</f>
        <v/>
      </c>
      <c r="Q52" s="15" t="str">
        <f aca="false">IF(AND(Q$3&gt;=$H52,Q$3&lt;=$I52),1,"")</f>
        <v/>
      </c>
      <c r="R52" s="15" t="str">
        <f aca="false">IF(AND(R$3&gt;=$H52,R$3&lt;=$I52),1,"")</f>
        <v/>
      </c>
      <c r="S52" s="15" t="str">
        <f aca="false">IF(AND(S$3&gt;=$H52,S$3&lt;=$I52),1,"")</f>
        <v/>
      </c>
      <c r="T52" s="15" t="str">
        <f aca="false">IF(AND(T$3&gt;=$H52,T$3&lt;=$I52),1,"")</f>
        <v/>
      </c>
      <c r="U52" s="15" t="str">
        <f aca="false">IF(AND(U$3&gt;=$H52,U$3&lt;=$I52),1,"")</f>
        <v/>
      </c>
      <c r="V52" s="15" t="str">
        <f aca="false">IF(AND(V$3&gt;=$H52,V$3&lt;=$I52),1,"")</f>
        <v/>
      </c>
      <c r="W52" s="15" t="str">
        <f aca="false">IF(AND(W$3&gt;=$H52,W$3&lt;=$I52),1,"")</f>
        <v/>
      </c>
      <c r="X52" s="15" t="str">
        <f aca="false">IF(AND(X$3&gt;=$H52,X$3&lt;=$I52),1,"")</f>
        <v/>
      </c>
      <c r="Y52" s="15" t="str">
        <f aca="false">IF(AND(Y$3&gt;=$H52,Y$3&lt;=$I52),1,"")</f>
        <v/>
      </c>
      <c r="Z52" s="15" t="str">
        <f aca="false">IF(AND(Z$3&gt;=$H52,Z$3&lt;=$I52),1,"")</f>
        <v/>
      </c>
      <c r="AA52" s="15" t="str">
        <f aca="false">IF(AND(AA$3&gt;=$H52,AA$3&lt;=$I52),1,"")</f>
        <v/>
      </c>
      <c r="AB52" s="15" t="str">
        <f aca="false">IF(AND(AB$3&gt;=$H52,AB$3&lt;=$I52),1,"")</f>
        <v/>
      </c>
      <c r="AC52" s="15" t="str">
        <f aca="false">IF(AND(AC$3&gt;=$H52,AC$3&lt;=$I52),1,"")</f>
        <v/>
      </c>
      <c r="AD52" s="15" t="str">
        <f aca="false">IF(AND(AD$3&gt;=$H52,AD$3&lt;=$I52),1,"")</f>
        <v/>
      </c>
      <c r="AE52" s="15" t="str">
        <f aca="false">IF(AND(AE$3&gt;=$H52,AE$3&lt;=$I52),1,"")</f>
        <v/>
      </c>
      <c r="AF52" s="15" t="str">
        <f aca="false">IF(AND(AF$3&gt;=$H52,AF$3&lt;=$I52),1,"")</f>
        <v/>
      </c>
      <c r="AG52" s="15" t="str">
        <f aca="false">IF(AND(AG$3&gt;=$H52,AG$3&lt;=$I52),1,"")</f>
        <v/>
      </c>
      <c r="AH52" s="15" t="str">
        <f aca="false">IF(AND(AH$3&gt;=$H52,AH$3&lt;=$I52),1,"")</f>
        <v/>
      </c>
      <c r="AI52" s="15" t="str">
        <f aca="false">IF(AND(AI$3&gt;=$H52,AI$3&lt;=$I52),1,"")</f>
        <v/>
      </c>
      <c r="AJ52" s="15" t="str">
        <f aca="false">IF(AND(AJ$3&gt;=$H52,AJ$3&lt;=$I52),1,"")</f>
        <v/>
      </c>
      <c r="AK52" s="15" t="str">
        <f aca="false">IF(AND(AK$3&gt;=$H52,AK$3&lt;=$I52),1,"")</f>
        <v/>
      </c>
      <c r="AL52" s="15" t="str">
        <f aca="false">IF(AND(AL$3&gt;=$H52,AL$3&lt;=$I52),1,"")</f>
        <v/>
      </c>
      <c r="AM52" s="15" t="str">
        <f aca="false">IF(AND(AM$3&gt;=$H52,AM$3&lt;=$I52),1,"")</f>
        <v/>
      </c>
      <c r="AN52" s="15" t="str">
        <f aca="false">IF(AND(AN$3&gt;=$H52,AN$3&lt;=$I52),1,"")</f>
        <v/>
      </c>
      <c r="AO52" s="15" t="str">
        <f aca="false">IF(AND(AO$3&gt;=$H52,AO$3&lt;=$I52),1,"")</f>
        <v/>
      </c>
      <c r="AP52" s="15" t="n">
        <f aca="false">IF(AND(AP$3&gt;=$H52,AP$3&lt;=$I52),1,"")</f>
        <v>1</v>
      </c>
      <c r="AQ52" s="15" t="n">
        <f aca="false">IF(AND(AQ$3&gt;=$H52,AQ$3&lt;=$I52),1,"")</f>
        <v>1</v>
      </c>
      <c r="AR52" s="15" t="str">
        <f aca="false">IF(AND(AR$3&gt;=$H52,AR$3&lt;=$I52),1,"")</f>
        <v/>
      </c>
    </row>
    <row r="53" customFormat="false" ht="15" hidden="false" customHeight="false" outlineLevel="0" collapsed="false">
      <c r="A53" s="10" t="s">
        <v>144</v>
      </c>
      <c r="B53" s="10" t="s">
        <v>153</v>
      </c>
      <c r="C53" s="10" t="s">
        <v>154</v>
      </c>
      <c r="D53" s="10"/>
      <c r="E53" s="11" t="n">
        <v>0.5</v>
      </c>
      <c r="F53" s="11" t="n">
        <v>0.5</v>
      </c>
      <c r="G53" s="10" t="s">
        <v>37</v>
      </c>
      <c r="H53" s="12" t="n">
        <v>29</v>
      </c>
      <c r="I53" s="12" t="n">
        <v>29</v>
      </c>
      <c r="J53" s="13" t="n">
        <f aca="false">INDEX(Calendario!$B$2:$B$31,MATCH(H53,Calendario!$A$2:$A$31,0))</f>
        <v>46351</v>
      </c>
      <c r="K53" s="13" t="n">
        <f aca="false">INDEX(Calendario!$B$2:$B$31,MATCH(I53,Calendario!$A$2:$A$31,0))</f>
        <v>46351</v>
      </c>
      <c r="L53" s="14" t="s">
        <v>38</v>
      </c>
      <c r="M53" s="13"/>
      <c r="N53" s="13"/>
      <c r="O53" s="15" t="str">
        <f aca="false">IF(AND(O$3&gt;=$H53,O$3&lt;=$I53),1,"")</f>
        <v/>
      </c>
      <c r="P53" s="15" t="str">
        <f aca="false">IF(AND(P$3&gt;=$H53,P$3&lt;=$I53),1,"")</f>
        <v/>
      </c>
      <c r="Q53" s="15" t="str">
        <f aca="false">IF(AND(Q$3&gt;=$H53,Q$3&lt;=$I53),1,"")</f>
        <v/>
      </c>
      <c r="R53" s="15" t="str">
        <f aca="false">IF(AND(R$3&gt;=$H53,R$3&lt;=$I53),1,"")</f>
        <v/>
      </c>
      <c r="S53" s="15" t="str">
        <f aca="false">IF(AND(S$3&gt;=$H53,S$3&lt;=$I53),1,"")</f>
        <v/>
      </c>
      <c r="T53" s="15" t="str">
        <f aca="false">IF(AND(T$3&gt;=$H53,T$3&lt;=$I53),1,"")</f>
        <v/>
      </c>
      <c r="U53" s="15" t="str">
        <f aca="false">IF(AND(U$3&gt;=$H53,U$3&lt;=$I53),1,"")</f>
        <v/>
      </c>
      <c r="V53" s="15" t="str">
        <f aca="false">IF(AND(V$3&gt;=$H53,V$3&lt;=$I53),1,"")</f>
        <v/>
      </c>
      <c r="W53" s="15" t="str">
        <f aca="false">IF(AND(W$3&gt;=$H53,W$3&lt;=$I53),1,"")</f>
        <v/>
      </c>
      <c r="X53" s="15" t="str">
        <f aca="false">IF(AND(X$3&gt;=$H53,X$3&lt;=$I53),1,"")</f>
        <v/>
      </c>
      <c r="Y53" s="15" t="str">
        <f aca="false">IF(AND(Y$3&gt;=$H53,Y$3&lt;=$I53),1,"")</f>
        <v/>
      </c>
      <c r="Z53" s="15" t="str">
        <f aca="false">IF(AND(Z$3&gt;=$H53,Z$3&lt;=$I53),1,"")</f>
        <v/>
      </c>
      <c r="AA53" s="15" t="str">
        <f aca="false">IF(AND(AA$3&gt;=$H53,AA$3&lt;=$I53),1,"")</f>
        <v/>
      </c>
      <c r="AB53" s="15" t="str">
        <f aca="false">IF(AND(AB$3&gt;=$H53,AB$3&lt;=$I53),1,"")</f>
        <v/>
      </c>
      <c r="AC53" s="15" t="str">
        <f aca="false">IF(AND(AC$3&gt;=$H53,AC$3&lt;=$I53),1,"")</f>
        <v/>
      </c>
      <c r="AD53" s="15" t="str">
        <f aca="false">IF(AND(AD$3&gt;=$H53,AD$3&lt;=$I53),1,"")</f>
        <v/>
      </c>
      <c r="AE53" s="15" t="str">
        <f aca="false">IF(AND(AE$3&gt;=$H53,AE$3&lt;=$I53),1,"")</f>
        <v/>
      </c>
      <c r="AF53" s="15" t="str">
        <f aca="false">IF(AND(AF$3&gt;=$H53,AF$3&lt;=$I53),1,"")</f>
        <v/>
      </c>
      <c r="AG53" s="15" t="str">
        <f aca="false">IF(AND(AG$3&gt;=$H53,AG$3&lt;=$I53),1,"")</f>
        <v/>
      </c>
      <c r="AH53" s="15" t="str">
        <f aca="false">IF(AND(AH$3&gt;=$H53,AH$3&lt;=$I53),1,"")</f>
        <v/>
      </c>
      <c r="AI53" s="15" t="str">
        <f aca="false">IF(AND(AI$3&gt;=$H53,AI$3&lt;=$I53),1,"")</f>
        <v/>
      </c>
      <c r="AJ53" s="15" t="str">
        <f aca="false">IF(AND(AJ$3&gt;=$H53,AJ$3&lt;=$I53),1,"")</f>
        <v/>
      </c>
      <c r="AK53" s="15" t="str">
        <f aca="false">IF(AND(AK$3&gt;=$H53,AK$3&lt;=$I53),1,"")</f>
        <v/>
      </c>
      <c r="AL53" s="15" t="str">
        <f aca="false">IF(AND(AL$3&gt;=$H53,AL$3&lt;=$I53),1,"")</f>
        <v/>
      </c>
      <c r="AM53" s="15" t="str">
        <f aca="false">IF(AND(AM$3&gt;=$H53,AM$3&lt;=$I53),1,"")</f>
        <v/>
      </c>
      <c r="AN53" s="15" t="str">
        <f aca="false">IF(AND(AN$3&gt;=$H53,AN$3&lt;=$I53),1,"")</f>
        <v/>
      </c>
      <c r="AO53" s="15" t="str">
        <f aca="false">IF(AND(AO$3&gt;=$H53,AO$3&lt;=$I53),1,"")</f>
        <v/>
      </c>
      <c r="AP53" s="15" t="str">
        <f aca="false">IF(AND(AP$3&gt;=$H53,AP$3&lt;=$I53),1,"")</f>
        <v/>
      </c>
      <c r="AQ53" s="15" t="n">
        <f aca="false">IF(AND(AQ$3&gt;=$H53,AQ$3&lt;=$I53),1,"")</f>
        <v>1</v>
      </c>
      <c r="AR53" s="15" t="str">
        <f aca="false">IF(AND(AR$3&gt;=$H53,AR$3&lt;=$I53),1,"")</f>
        <v/>
      </c>
    </row>
    <row r="54" customFormat="false" ht="15" hidden="false" customHeight="false" outlineLevel="0" collapsed="false">
      <c r="C54" s="16" t="s">
        <v>155</v>
      </c>
      <c r="E54" s="17" t="n">
        <f aca="false">SUM(E4:E53)</f>
        <v>24</v>
      </c>
      <c r="F54" s="17" t="n">
        <f aca="false">SUM(F4:F53)</f>
        <v>24</v>
      </c>
    </row>
    <row r="56" customFormat="false" ht="15" hidden="false" customHeight="false" outlineLevel="0" collapsed="false">
      <c r="A56" s="6" t="s">
        <v>156</v>
      </c>
    </row>
  </sheetData>
  <conditionalFormatting sqref="O4:AR53">
    <cfRule type="expression" priority="2" aboveAverage="0" equalAverage="0" bottom="0" percent="0" rank="0" text="" dxfId="0">
      <formula>O4=1</formula>
    </cfRule>
  </conditionalFormatting>
  <conditionalFormatting sqref="L4:L53">
    <cfRule type="expression" priority="3" aboveAverage="0" equalAverage="0" bottom="0" percent="0" rank="0" text="" dxfId="1">
      <formula>$L4="Hecho"</formula>
    </cfRule>
    <cfRule type="expression" priority="4" aboveAverage="0" equalAverage="0" bottom="0" percent="0" rank="0" text="" dxfId="2">
      <formula>$L4="En curso"</formula>
    </cfRule>
  </conditionalFormatting>
  <dataValidations count="1">
    <dataValidation allowBlank="false" errorStyle="stop" operator="between" showDropDown="false" showErrorMessage="false" showInputMessage="false" sqref="L4:L53" type="list">
      <formula1>"Pendiente,En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7" t="s">
        <v>157</v>
      </c>
    </row>
    <row r="3" customFormat="false" ht="15" hidden="false" customHeight="false" outlineLevel="0" collapsed="false">
      <c r="A3" s="2" t="s">
        <v>19</v>
      </c>
      <c r="B3" s="2" t="s">
        <v>23</v>
      </c>
      <c r="C3" s="2" t="s">
        <v>24</v>
      </c>
    </row>
    <row r="4" customFormat="false" ht="15" hidden="false" customHeight="false" outlineLevel="0" collapsed="false">
      <c r="A4" s="3" t="s">
        <v>33</v>
      </c>
      <c r="B4" s="18" t="n">
        <f aca="false">SUMIFS(Plan!$E$4:$E$53,Plan!$A$4:$A$53,$A4)</f>
        <v>2</v>
      </c>
      <c r="C4" s="18" t="n">
        <f aca="false">SUMIFS(Plan!$F$4:$F$53,Plan!$A$4:$A$53,$A4)</f>
        <v>1.5</v>
      </c>
    </row>
    <row r="5" customFormat="false" ht="15" hidden="false" customHeight="false" outlineLevel="0" collapsed="false">
      <c r="A5" s="3" t="s">
        <v>51</v>
      </c>
      <c r="B5" s="18" t="n">
        <f aca="false">SUMIFS(Plan!$E$4:$E$53,Plan!$A$4:$A$53,$A5)</f>
        <v>6</v>
      </c>
      <c r="C5" s="18" t="n">
        <f aca="false">SUMIFS(Plan!$F$4:$F$53,Plan!$A$4:$A$53,$A5)</f>
        <v>5.5</v>
      </c>
    </row>
    <row r="6" customFormat="false" ht="15" hidden="false" customHeight="false" outlineLevel="0" collapsed="false">
      <c r="A6" s="3" t="s">
        <v>88</v>
      </c>
      <c r="B6" s="18" t="n">
        <f aca="false">SUMIFS(Plan!$E$4:$E$53,Plan!$A$4:$A$53,$A6)</f>
        <v>5</v>
      </c>
      <c r="C6" s="18" t="n">
        <f aca="false">SUMIFS(Plan!$F$4:$F$53,Plan!$A$4:$A$53,$A6)</f>
        <v>4.5</v>
      </c>
    </row>
    <row r="7" customFormat="false" ht="15" hidden="false" customHeight="false" outlineLevel="0" collapsed="false">
      <c r="A7" s="3" t="s">
        <v>109</v>
      </c>
      <c r="B7" s="18" t="n">
        <f aca="false">SUMIFS(Plan!$E$4:$E$53,Plan!$A$4:$A$53,$A7)</f>
        <v>4</v>
      </c>
      <c r="C7" s="18" t="n">
        <f aca="false">SUMIFS(Plan!$F$4:$F$53,Plan!$A$4:$A$53,$A7)</f>
        <v>6</v>
      </c>
    </row>
    <row r="8" customFormat="false" ht="15" hidden="false" customHeight="false" outlineLevel="0" collapsed="false">
      <c r="A8" s="3" t="s">
        <v>128</v>
      </c>
      <c r="B8" s="18" t="n">
        <f aca="false">SUMIFS(Plan!$E$4:$E$53,Plan!$A$4:$A$53,$A8)</f>
        <v>3.5</v>
      </c>
      <c r="C8" s="18" t="n">
        <f aca="false">SUMIFS(Plan!$F$4:$F$53,Plan!$A$4:$A$53,$A8)</f>
        <v>3.5</v>
      </c>
    </row>
    <row r="9" customFormat="false" ht="15" hidden="false" customHeight="false" outlineLevel="0" collapsed="false">
      <c r="A9" s="3" t="s">
        <v>144</v>
      </c>
      <c r="B9" s="18" t="n">
        <f aca="false">SUMIFS(Plan!$E$4:$E$53,Plan!$A$4:$A$53,$A9)</f>
        <v>3.5</v>
      </c>
      <c r="C9" s="18" t="n">
        <f aca="false">SUMIFS(Plan!$F$4:$F$53,Plan!$A$4:$A$53,$A9)</f>
        <v>3</v>
      </c>
    </row>
    <row r="10" customFormat="false" ht="15" hidden="false" customHeight="false" outlineLevel="0" collapsed="false">
      <c r="A10" s="16" t="s">
        <v>158</v>
      </c>
      <c r="B10" s="19" t="n">
        <f aca="false">SUM(B4:B9)</f>
        <v>24</v>
      </c>
      <c r="C10" s="19" t="n">
        <f aca="false">SUM(C4:C9)</f>
        <v>24</v>
      </c>
    </row>
    <row r="11" customFormat="false" ht="15" hidden="false" customHeight="false" outlineLevel="0" collapsed="false">
      <c r="A11" s="3" t="s">
        <v>159</v>
      </c>
      <c r="B11" s="18" t="n">
        <f aca="false">COUNTIF(Calendario!$D$2:$D$31,"Sí")</f>
        <v>26</v>
      </c>
      <c r="C11" s="18" t="n">
        <f aca="false">COUNTIF(Calendario!$D$2:$D$31,"Sí")</f>
        <v>26</v>
      </c>
    </row>
    <row r="12" customFormat="false" ht="15" hidden="false" customHeight="false" outlineLevel="0" collapsed="false">
      <c r="A12" s="16" t="s">
        <v>160</v>
      </c>
      <c r="B12" s="19" t="n">
        <f aca="false">B11-B10</f>
        <v>2</v>
      </c>
      <c r="C12" s="19" t="n">
        <f aca="false">C11-C10</f>
        <v>2</v>
      </c>
    </row>
    <row r="13" customFormat="false" ht="15" hidden="false" customHeight="false" outlineLevel="0" collapsed="false">
      <c r="A13" s="3" t="s">
        <v>161</v>
      </c>
      <c r="B13" s="20" t="n">
        <f aca="false">B10/B11</f>
        <v>0.923076923076923</v>
      </c>
      <c r="C13" s="20" t="n">
        <f aca="false">C10/C11</f>
        <v>0.923076923076923</v>
      </c>
    </row>
    <row r="15" customFormat="false" ht="15" hidden="false" customHeight="false" outlineLevel="0" collapsed="false">
      <c r="A15" s="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" t="s">
        <v>163</v>
      </c>
      <c r="B1" s="2" t="s">
        <v>164</v>
      </c>
      <c r="C1" s="2" t="s">
        <v>165</v>
      </c>
      <c r="D1" s="2" t="s">
        <v>166</v>
      </c>
    </row>
    <row r="2" customFormat="false" ht="15" hidden="false" customHeight="false" outlineLevel="0" collapsed="false">
      <c r="A2" s="3" t="n">
        <v>1</v>
      </c>
      <c r="B2" s="21" t="n">
        <f aca="false">Supuestos!B4</f>
        <v>46323</v>
      </c>
      <c r="C2" s="3" t="str">
        <f aca="false">CHOOSE(WEEKDAY(B2,2),"lun","mar","mié","jue","vie","sáb","dom")</f>
        <v>mié</v>
      </c>
      <c r="D2" s="3" t="str">
        <f aca="false">IF(WEEKDAY(B2,2)=7,"No","Sí")</f>
        <v>Sí</v>
      </c>
    </row>
    <row r="3" customFormat="false" ht="15" hidden="false" customHeight="false" outlineLevel="0" collapsed="false">
      <c r="A3" s="3" t="n">
        <v>2</v>
      </c>
      <c r="B3" s="21" t="n">
        <f aca="false">B2+1</f>
        <v>46324</v>
      </c>
      <c r="C3" s="3" t="str">
        <f aca="false">CHOOSE(WEEKDAY(B3,2),"lun","mar","mié","jue","vie","sáb","dom")</f>
        <v>jue</v>
      </c>
      <c r="D3" s="3" t="str">
        <f aca="false">IF(WEEKDAY(B3,2)=7,"No","Sí")</f>
        <v>Sí</v>
      </c>
    </row>
    <row r="4" customFormat="false" ht="15" hidden="false" customHeight="false" outlineLevel="0" collapsed="false">
      <c r="A4" s="3" t="n">
        <v>3</v>
      </c>
      <c r="B4" s="21" t="n">
        <f aca="false">B3+1</f>
        <v>46325</v>
      </c>
      <c r="C4" s="3" t="str">
        <f aca="false">CHOOSE(WEEKDAY(B4,2),"lun","mar","mié","jue","vie","sáb","dom")</f>
        <v>vie</v>
      </c>
      <c r="D4" s="3" t="str">
        <f aca="false">IF(WEEKDAY(B4,2)=7,"No","Sí")</f>
        <v>Sí</v>
      </c>
    </row>
    <row r="5" customFormat="false" ht="15" hidden="false" customHeight="false" outlineLevel="0" collapsed="false">
      <c r="A5" s="3" t="n">
        <v>4</v>
      </c>
      <c r="B5" s="21" t="n">
        <f aca="false">B4+1</f>
        <v>46326</v>
      </c>
      <c r="C5" s="3" t="str">
        <f aca="false">CHOOSE(WEEKDAY(B5,2),"lun","mar","mié","jue","vie","sáb","dom")</f>
        <v>sáb</v>
      </c>
      <c r="D5" s="3" t="str">
        <f aca="false">IF(WEEKDAY(B5,2)=7,"No","Sí")</f>
        <v>Sí</v>
      </c>
    </row>
    <row r="6" customFormat="false" ht="15" hidden="false" customHeight="false" outlineLevel="0" collapsed="false">
      <c r="A6" s="3" t="n">
        <v>5</v>
      </c>
      <c r="B6" s="21" t="n">
        <f aca="false">B5+1</f>
        <v>46327</v>
      </c>
      <c r="C6" s="3" t="str">
        <f aca="false">CHOOSE(WEEKDAY(B6,2),"lun","mar","mié","jue","vie","sáb","dom")</f>
        <v>dom</v>
      </c>
      <c r="D6" s="3" t="str">
        <f aca="false">IF(WEEKDAY(B6,2)=7,"No","Sí")</f>
        <v>No</v>
      </c>
    </row>
    <row r="7" customFormat="false" ht="15" hidden="false" customHeight="false" outlineLevel="0" collapsed="false">
      <c r="A7" s="3" t="n">
        <v>6</v>
      </c>
      <c r="B7" s="21" t="n">
        <f aca="false">B6+1</f>
        <v>46328</v>
      </c>
      <c r="C7" s="3" t="str">
        <f aca="false">CHOOSE(WEEKDAY(B7,2),"lun","mar","mié","jue","vie","sáb","dom")</f>
        <v>lun</v>
      </c>
      <c r="D7" s="3" t="str">
        <f aca="false">IF(WEEKDAY(B7,2)=7,"No","Sí")</f>
        <v>Sí</v>
      </c>
    </row>
    <row r="8" customFormat="false" ht="15" hidden="false" customHeight="false" outlineLevel="0" collapsed="false">
      <c r="A8" s="3" t="n">
        <v>7</v>
      </c>
      <c r="B8" s="21" t="n">
        <f aca="false">B7+1</f>
        <v>46329</v>
      </c>
      <c r="C8" s="3" t="str">
        <f aca="false">CHOOSE(WEEKDAY(B8,2),"lun","mar","mié","jue","vie","sáb","dom")</f>
        <v>mar</v>
      </c>
      <c r="D8" s="3" t="str">
        <f aca="false">IF(WEEKDAY(B8,2)=7,"No","Sí")</f>
        <v>Sí</v>
      </c>
    </row>
    <row r="9" customFormat="false" ht="15" hidden="false" customHeight="false" outlineLevel="0" collapsed="false">
      <c r="A9" s="3" t="n">
        <v>8</v>
      </c>
      <c r="B9" s="21" t="n">
        <f aca="false">B8+1</f>
        <v>46330</v>
      </c>
      <c r="C9" s="3" t="str">
        <f aca="false">CHOOSE(WEEKDAY(B9,2),"lun","mar","mié","jue","vie","sáb","dom")</f>
        <v>mié</v>
      </c>
      <c r="D9" s="3" t="str">
        <f aca="false">IF(WEEKDAY(B9,2)=7,"No","Sí")</f>
        <v>Sí</v>
      </c>
    </row>
    <row r="10" customFormat="false" ht="15" hidden="false" customHeight="false" outlineLevel="0" collapsed="false">
      <c r="A10" s="3" t="n">
        <v>9</v>
      </c>
      <c r="B10" s="21" t="n">
        <f aca="false">B9+1</f>
        <v>46331</v>
      </c>
      <c r="C10" s="3" t="str">
        <f aca="false">CHOOSE(WEEKDAY(B10,2),"lun","mar","mié","jue","vie","sáb","dom")</f>
        <v>jue</v>
      </c>
      <c r="D10" s="3" t="str">
        <f aca="false">IF(WEEKDAY(B10,2)=7,"No","Sí")</f>
        <v>Sí</v>
      </c>
    </row>
    <row r="11" customFormat="false" ht="15" hidden="false" customHeight="false" outlineLevel="0" collapsed="false">
      <c r="A11" s="3" t="n">
        <v>10</v>
      </c>
      <c r="B11" s="21" t="n">
        <f aca="false">B10+1</f>
        <v>46332</v>
      </c>
      <c r="C11" s="3" t="str">
        <f aca="false">CHOOSE(WEEKDAY(B11,2),"lun","mar","mié","jue","vie","sáb","dom")</f>
        <v>vie</v>
      </c>
      <c r="D11" s="3" t="str">
        <f aca="false">IF(WEEKDAY(B11,2)=7,"No","Sí")</f>
        <v>Sí</v>
      </c>
    </row>
    <row r="12" customFormat="false" ht="15" hidden="false" customHeight="false" outlineLevel="0" collapsed="false">
      <c r="A12" s="3" t="n">
        <v>11</v>
      </c>
      <c r="B12" s="21" t="n">
        <f aca="false">B11+1</f>
        <v>46333</v>
      </c>
      <c r="C12" s="3" t="str">
        <f aca="false">CHOOSE(WEEKDAY(B12,2),"lun","mar","mié","jue","vie","sáb","dom")</f>
        <v>sáb</v>
      </c>
      <c r="D12" s="3" t="str">
        <f aca="false">IF(WEEKDAY(B12,2)=7,"No","Sí")</f>
        <v>Sí</v>
      </c>
    </row>
    <row r="13" customFormat="false" ht="15" hidden="false" customHeight="false" outlineLevel="0" collapsed="false">
      <c r="A13" s="3" t="n">
        <v>12</v>
      </c>
      <c r="B13" s="21" t="n">
        <f aca="false">B12+1</f>
        <v>46334</v>
      </c>
      <c r="C13" s="3" t="str">
        <f aca="false">CHOOSE(WEEKDAY(B13,2),"lun","mar","mié","jue","vie","sáb","dom")</f>
        <v>dom</v>
      </c>
      <c r="D13" s="3" t="str">
        <f aca="false">IF(WEEKDAY(B13,2)=7,"No","Sí")</f>
        <v>No</v>
      </c>
    </row>
    <row r="14" customFormat="false" ht="15" hidden="false" customHeight="false" outlineLevel="0" collapsed="false">
      <c r="A14" s="3" t="n">
        <v>13</v>
      </c>
      <c r="B14" s="21" t="n">
        <f aca="false">B13+1</f>
        <v>46335</v>
      </c>
      <c r="C14" s="3" t="str">
        <f aca="false">CHOOSE(WEEKDAY(B14,2),"lun","mar","mié","jue","vie","sáb","dom")</f>
        <v>lun</v>
      </c>
      <c r="D14" s="3" t="str">
        <f aca="false">IF(WEEKDAY(B14,2)=7,"No","Sí")</f>
        <v>Sí</v>
      </c>
    </row>
    <row r="15" customFormat="false" ht="15" hidden="false" customHeight="false" outlineLevel="0" collapsed="false">
      <c r="A15" s="3" t="n">
        <v>14</v>
      </c>
      <c r="B15" s="21" t="n">
        <f aca="false">B14+1</f>
        <v>46336</v>
      </c>
      <c r="C15" s="3" t="str">
        <f aca="false">CHOOSE(WEEKDAY(B15,2),"lun","mar","mié","jue","vie","sáb","dom")</f>
        <v>mar</v>
      </c>
      <c r="D15" s="3" t="str">
        <f aca="false">IF(WEEKDAY(B15,2)=7,"No","Sí")</f>
        <v>Sí</v>
      </c>
    </row>
    <row r="16" customFormat="false" ht="15" hidden="false" customHeight="false" outlineLevel="0" collapsed="false">
      <c r="A16" s="3" t="n">
        <v>15</v>
      </c>
      <c r="B16" s="21" t="n">
        <f aca="false">B15+1</f>
        <v>46337</v>
      </c>
      <c r="C16" s="3" t="str">
        <f aca="false">CHOOSE(WEEKDAY(B16,2),"lun","mar","mié","jue","vie","sáb","dom")</f>
        <v>mié</v>
      </c>
      <c r="D16" s="3" t="str">
        <f aca="false">IF(WEEKDAY(B16,2)=7,"No","Sí")</f>
        <v>Sí</v>
      </c>
    </row>
    <row r="17" customFormat="false" ht="15" hidden="false" customHeight="false" outlineLevel="0" collapsed="false">
      <c r="A17" s="3" t="n">
        <v>16</v>
      </c>
      <c r="B17" s="21" t="n">
        <f aca="false">B16+1</f>
        <v>46338</v>
      </c>
      <c r="C17" s="3" t="str">
        <f aca="false">CHOOSE(WEEKDAY(B17,2),"lun","mar","mié","jue","vie","sáb","dom")</f>
        <v>jue</v>
      </c>
      <c r="D17" s="3" t="str">
        <f aca="false">IF(WEEKDAY(B17,2)=7,"No","Sí")</f>
        <v>Sí</v>
      </c>
    </row>
    <row r="18" customFormat="false" ht="15" hidden="false" customHeight="false" outlineLevel="0" collapsed="false">
      <c r="A18" s="3" t="n">
        <v>17</v>
      </c>
      <c r="B18" s="21" t="n">
        <f aca="false">B17+1</f>
        <v>46339</v>
      </c>
      <c r="C18" s="3" t="str">
        <f aca="false">CHOOSE(WEEKDAY(B18,2),"lun","mar","mié","jue","vie","sáb","dom")</f>
        <v>vie</v>
      </c>
      <c r="D18" s="3" t="str">
        <f aca="false">IF(WEEKDAY(B18,2)=7,"No","Sí")</f>
        <v>Sí</v>
      </c>
    </row>
    <row r="19" customFormat="false" ht="15" hidden="false" customHeight="false" outlineLevel="0" collapsed="false">
      <c r="A19" s="3" t="n">
        <v>18</v>
      </c>
      <c r="B19" s="21" t="n">
        <f aca="false">B18+1</f>
        <v>46340</v>
      </c>
      <c r="C19" s="3" t="str">
        <f aca="false">CHOOSE(WEEKDAY(B19,2),"lun","mar","mié","jue","vie","sáb","dom")</f>
        <v>sáb</v>
      </c>
      <c r="D19" s="3" t="str">
        <f aca="false">IF(WEEKDAY(B19,2)=7,"No","Sí")</f>
        <v>Sí</v>
      </c>
    </row>
    <row r="20" customFormat="false" ht="15" hidden="false" customHeight="false" outlineLevel="0" collapsed="false">
      <c r="A20" s="3" t="n">
        <v>19</v>
      </c>
      <c r="B20" s="21" t="n">
        <f aca="false">B19+1</f>
        <v>46341</v>
      </c>
      <c r="C20" s="3" t="str">
        <f aca="false">CHOOSE(WEEKDAY(B20,2),"lun","mar","mié","jue","vie","sáb","dom")</f>
        <v>dom</v>
      </c>
      <c r="D20" s="3" t="str">
        <f aca="false">IF(WEEKDAY(B20,2)=7,"No","Sí")</f>
        <v>No</v>
      </c>
    </row>
    <row r="21" customFormat="false" ht="15" hidden="false" customHeight="false" outlineLevel="0" collapsed="false">
      <c r="A21" s="3" t="n">
        <v>20</v>
      </c>
      <c r="B21" s="21" t="n">
        <f aca="false">B20+1</f>
        <v>46342</v>
      </c>
      <c r="C21" s="3" t="str">
        <f aca="false">CHOOSE(WEEKDAY(B21,2),"lun","mar","mié","jue","vie","sáb","dom")</f>
        <v>lun</v>
      </c>
      <c r="D21" s="3" t="str">
        <f aca="false">IF(WEEKDAY(B21,2)=7,"No","Sí")</f>
        <v>Sí</v>
      </c>
    </row>
    <row r="22" customFormat="false" ht="15" hidden="false" customHeight="false" outlineLevel="0" collapsed="false">
      <c r="A22" s="3" t="n">
        <v>21</v>
      </c>
      <c r="B22" s="21" t="n">
        <f aca="false">B21+1</f>
        <v>46343</v>
      </c>
      <c r="C22" s="3" t="str">
        <f aca="false">CHOOSE(WEEKDAY(B22,2),"lun","mar","mié","jue","vie","sáb","dom")</f>
        <v>mar</v>
      </c>
      <c r="D22" s="3" t="str">
        <f aca="false">IF(WEEKDAY(B22,2)=7,"No","Sí")</f>
        <v>Sí</v>
      </c>
    </row>
    <row r="23" customFormat="false" ht="15" hidden="false" customHeight="false" outlineLevel="0" collapsed="false">
      <c r="A23" s="3" t="n">
        <v>22</v>
      </c>
      <c r="B23" s="21" t="n">
        <f aca="false">B22+1</f>
        <v>46344</v>
      </c>
      <c r="C23" s="3" t="str">
        <f aca="false">CHOOSE(WEEKDAY(B23,2),"lun","mar","mié","jue","vie","sáb","dom")</f>
        <v>mié</v>
      </c>
      <c r="D23" s="3" t="str">
        <f aca="false">IF(WEEKDAY(B23,2)=7,"No","Sí")</f>
        <v>Sí</v>
      </c>
    </row>
    <row r="24" customFormat="false" ht="15" hidden="false" customHeight="false" outlineLevel="0" collapsed="false">
      <c r="A24" s="3" t="n">
        <v>23</v>
      </c>
      <c r="B24" s="21" t="n">
        <f aca="false">B23+1</f>
        <v>46345</v>
      </c>
      <c r="C24" s="3" t="str">
        <f aca="false">CHOOSE(WEEKDAY(B24,2),"lun","mar","mié","jue","vie","sáb","dom")</f>
        <v>jue</v>
      </c>
      <c r="D24" s="3" t="str">
        <f aca="false">IF(WEEKDAY(B24,2)=7,"No","Sí")</f>
        <v>Sí</v>
      </c>
    </row>
    <row r="25" customFormat="false" ht="15" hidden="false" customHeight="false" outlineLevel="0" collapsed="false">
      <c r="A25" s="3" t="n">
        <v>24</v>
      </c>
      <c r="B25" s="21" t="n">
        <f aca="false">B24+1</f>
        <v>46346</v>
      </c>
      <c r="C25" s="3" t="str">
        <f aca="false">CHOOSE(WEEKDAY(B25,2),"lun","mar","mié","jue","vie","sáb","dom")</f>
        <v>vie</v>
      </c>
      <c r="D25" s="3" t="str">
        <f aca="false">IF(WEEKDAY(B25,2)=7,"No","Sí")</f>
        <v>Sí</v>
      </c>
    </row>
    <row r="26" customFormat="false" ht="15" hidden="false" customHeight="false" outlineLevel="0" collapsed="false">
      <c r="A26" s="3" t="n">
        <v>25</v>
      </c>
      <c r="B26" s="21" t="n">
        <f aca="false">B25+1</f>
        <v>46347</v>
      </c>
      <c r="C26" s="3" t="str">
        <f aca="false">CHOOSE(WEEKDAY(B26,2),"lun","mar","mié","jue","vie","sáb","dom")</f>
        <v>sáb</v>
      </c>
      <c r="D26" s="3" t="str">
        <f aca="false">IF(WEEKDAY(B26,2)=7,"No","Sí")</f>
        <v>Sí</v>
      </c>
    </row>
    <row r="27" customFormat="false" ht="15" hidden="false" customHeight="false" outlineLevel="0" collapsed="false">
      <c r="A27" s="3" t="n">
        <v>26</v>
      </c>
      <c r="B27" s="21" t="n">
        <f aca="false">B26+1</f>
        <v>46348</v>
      </c>
      <c r="C27" s="3" t="str">
        <f aca="false">CHOOSE(WEEKDAY(B27,2),"lun","mar","mié","jue","vie","sáb","dom")</f>
        <v>dom</v>
      </c>
      <c r="D27" s="3" t="str">
        <f aca="false">IF(WEEKDAY(B27,2)=7,"No","Sí")</f>
        <v>No</v>
      </c>
    </row>
    <row r="28" customFormat="false" ht="15" hidden="false" customHeight="false" outlineLevel="0" collapsed="false">
      <c r="A28" s="3" t="n">
        <v>27</v>
      </c>
      <c r="B28" s="21" t="n">
        <f aca="false">B27+1</f>
        <v>46349</v>
      </c>
      <c r="C28" s="3" t="str">
        <f aca="false">CHOOSE(WEEKDAY(B28,2),"lun","mar","mié","jue","vie","sáb","dom")</f>
        <v>lun</v>
      </c>
      <c r="D28" s="3" t="str">
        <f aca="false">IF(WEEKDAY(B28,2)=7,"No","Sí")</f>
        <v>Sí</v>
      </c>
    </row>
    <row r="29" customFormat="false" ht="15" hidden="false" customHeight="false" outlineLevel="0" collapsed="false">
      <c r="A29" s="3" t="n">
        <v>28</v>
      </c>
      <c r="B29" s="21" t="n">
        <f aca="false">B28+1</f>
        <v>46350</v>
      </c>
      <c r="C29" s="3" t="str">
        <f aca="false">CHOOSE(WEEKDAY(B29,2),"lun","mar","mié","jue","vie","sáb","dom")</f>
        <v>mar</v>
      </c>
      <c r="D29" s="3" t="str">
        <f aca="false">IF(WEEKDAY(B29,2)=7,"No","Sí")</f>
        <v>Sí</v>
      </c>
    </row>
    <row r="30" customFormat="false" ht="15" hidden="false" customHeight="false" outlineLevel="0" collapsed="false">
      <c r="A30" s="3" t="n">
        <v>29</v>
      </c>
      <c r="B30" s="21" t="n">
        <f aca="false">B29+1</f>
        <v>46351</v>
      </c>
      <c r="C30" s="3" t="str">
        <f aca="false">CHOOSE(WEEKDAY(B30,2),"lun","mar","mié","jue","vie","sáb","dom")</f>
        <v>mié</v>
      </c>
      <c r="D30" s="3" t="str">
        <f aca="false">IF(WEEKDAY(B30,2)=7,"No","Sí")</f>
        <v>Sí</v>
      </c>
    </row>
    <row r="31" customFormat="false" ht="15" hidden="false" customHeight="false" outlineLevel="0" collapsed="false">
      <c r="A31" s="3" t="n">
        <v>30</v>
      </c>
      <c r="B31" s="21" t="n">
        <f aca="false">B30+1</f>
        <v>46352</v>
      </c>
      <c r="C31" s="3" t="str">
        <f aca="false">CHOOSE(WEEKDAY(B31,2),"lun","mar","mié","jue","vie","sáb","dom")</f>
        <v>jue</v>
      </c>
      <c r="D31" s="3" t="str">
        <f aca="false">IF(WEEKDAY(B31,2)=7,"No","Sí")</f>
        <v>Sí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5"/>
  </cols>
  <sheetData>
    <row r="1" customFormat="false" ht="16.15" hidden="false" customHeight="false" outlineLevel="0" collapsed="false">
      <c r="A1" s="7" t="s">
        <v>167</v>
      </c>
    </row>
    <row r="3" customFormat="false" ht="15" hidden="false" customHeight="false" outlineLevel="0" collapsed="false">
      <c r="A3" s="2" t="s">
        <v>168</v>
      </c>
      <c r="B3" s="2" t="s">
        <v>163</v>
      </c>
      <c r="C3" s="2" t="s">
        <v>164</v>
      </c>
      <c r="D3" s="2" t="s">
        <v>169</v>
      </c>
    </row>
    <row r="4" customFormat="false" ht="15" hidden="false" customHeight="false" outlineLevel="0" collapsed="false">
      <c r="A4" s="3" t="s">
        <v>170</v>
      </c>
      <c r="B4" s="22" t="n">
        <v>2</v>
      </c>
      <c r="C4" s="21" t="n">
        <f aca="false">INDEX(Calendario!$B$2:$B$31,MATCH(B4,Calendario!$A$2:$A$31,0))</f>
        <v>46324</v>
      </c>
      <c r="D4" s="3" t="s">
        <v>171</v>
      </c>
    </row>
    <row r="5" customFormat="false" ht="15" hidden="false" customHeight="false" outlineLevel="0" collapsed="false">
      <c r="A5" s="3" t="s">
        <v>172</v>
      </c>
      <c r="B5" s="22" t="n">
        <v>9</v>
      </c>
      <c r="C5" s="21" t="n">
        <f aca="false">INDEX(Calendario!$B$2:$B$31,MATCH(B5,Calendario!$A$2:$A$31,0))</f>
        <v>46331</v>
      </c>
      <c r="D5" s="3" t="s">
        <v>173</v>
      </c>
    </row>
    <row r="6" customFormat="false" ht="15" hidden="false" customHeight="false" outlineLevel="0" collapsed="false">
      <c r="A6" s="3" t="s">
        <v>174</v>
      </c>
      <c r="B6" s="22" t="n">
        <v>16</v>
      </c>
      <c r="C6" s="21" t="n">
        <f aca="false">INDEX(Calendario!$B$2:$B$31,MATCH(B6,Calendario!$A$2:$A$31,0))</f>
        <v>46338</v>
      </c>
      <c r="D6" s="3" t="s">
        <v>175</v>
      </c>
    </row>
    <row r="7" customFormat="false" ht="15" hidden="false" customHeight="false" outlineLevel="0" collapsed="false">
      <c r="A7" s="3" t="s">
        <v>176</v>
      </c>
      <c r="B7" s="22" t="n">
        <v>22</v>
      </c>
      <c r="C7" s="21" t="n">
        <f aca="false">INDEX(Calendario!$B$2:$B$31,MATCH(B7,Calendario!$A$2:$A$31,0))</f>
        <v>46344</v>
      </c>
      <c r="D7" s="3" t="s">
        <v>177</v>
      </c>
    </row>
    <row r="8" customFormat="false" ht="15" hidden="false" customHeight="false" outlineLevel="0" collapsed="false">
      <c r="A8" s="3" t="s">
        <v>178</v>
      </c>
      <c r="B8" s="22" t="n">
        <v>25</v>
      </c>
      <c r="C8" s="21" t="n">
        <f aca="false">INDEX(Calendario!$B$2:$B$31,MATCH(B8,Calendario!$A$2:$A$31,0))</f>
        <v>46347</v>
      </c>
      <c r="D8" s="3" t="s">
        <v>179</v>
      </c>
    </row>
    <row r="9" customFormat="false" ht="15" hidden="false" customHeight="false" outlineLevel="0" collapsed="false">
      <c r="A9" s="3" t="s">
        <v>180</v>
      </c>
      <c r="B9" s="22" t="n">
        <v>30</v>
      </c>
      <c r="C9" s="21" t="n">
        <f aca="false">INDEX(Calendario!$B$2:$B$31,MATCH(B9,Calendario!$A$2:$A$31,0))</f>
        <v>46352</v>
      </c>
      <c r="D9" s="3" t="s">
        <v>171</v>
      </c>
    </row>
    <row r="11" customFormat="false" ht="15" hidden="false" customHeight="false" outlineLevel="0" collapsed="false">
      <c r="A11" s="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2026-10-28T20:44:04Z</dcterms:created>
  <dc:creator>openpyxl</dc:creator>
  <dc:description/>
  <dc:language>en-US</dc:language>
  <cp:lastModifiedBy/>
  <dcterms:modified xsi:type="dcterms:W3CDTF">2026-10-28T20:44:04Z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